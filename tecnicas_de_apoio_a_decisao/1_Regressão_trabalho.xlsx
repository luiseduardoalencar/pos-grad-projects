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\code\python\pos-grad\tecnicas_de_apoio_a_decisao\"/>
    </mc:Choice>
  </mc:AlternateContent>
  <xr:revisionPtr revIDLastSave="0" documentId="13_ncr:1_{5E5A25EF-C37A-47D3-BDF7-C7B3E5A6A9A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nilha3" sheetId="3" r:id="rId1"/>
    <sheet name="Planilha1" sheetId="1" r:id="rId2"/>
  </sheets>
  <calcPr calcId="181029"/>
  <pivotCaches>
    <pivotCache cacheId="8" r:id="rId3"/>
  </pivotCaches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9" i="1" l="1"/>
  <c r="D20" i="1"/>
  <c r="D21" i="1"/>
  <c r="D52" i="1"/>
  <c r="D53" i="1"/>
  <c r="D61" i="1"/>
  <c r="D62" i="1"/>
  <c r="D63" i="1"/>
  <c r="D64" i="1"/>
  <c r="D65" i="1"/>
  <c r="D66" i="1"/>
  <c r="D84" i="1"/>
  <c r="D85" i="1"/>
  <c r="D132" i="1"/>
  <c r="D133" i="1"/>
  <c r="D164" i="1"/>
  <c r="D165" i="1"/>
  <c r="D172" i="1"/>
  <c r="D173" i="1"/>
  <c r="D181" i="1"/>
  <c r="D196" i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C21" i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C53" i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C62" i="1"/>
  <c r="C63" i="1"/>
  <c r="C64" i="1"/>
  <c r="C65" i="1"/>
  <c r="C66" i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C85" i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C133" i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C165" i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C173" i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C197" i="1"/>
  <c r="D197" i="1" s="1"/>
  <c r="C198" i="1"/>
  <c r="D198" i="1" s="1"/>
  <c r="C199" i="1"/>
  <c r="D199" i="1" s="1"/>
  <c r="C200" i="1"/>
  <c r="D200" i="1" s="1"/>
  <c r="C201" i="1"/>
  <c r="D201" i="1" s="1"/>
  <c r="C2" i="1"/>
  <c r="D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dvertising" description="Conexão com a consulta 'advertising' na pasta de trabalho." type="5" refreshedVersion="6" background="1">
    <dbPr connection="Provider=Microsoft.Mashup.OleDb.1;Data Source=$Workbook$;Location=advertising;Extended Properties=&quot;&quot;" command="SELECT * FROM [advertising]"/>
  </connection>
</connections>
</file>

<file path=xl/sharedStrings.xml><?xml version="1.0" encoding="utf-8"?>
<sst xmlns="http://schemas.openxmlformats.org/spreadsheetml/2006/main" count="16" uniqueCount="12">
  <si>
    <t>Visualizações</t>
  </si>
  <si>
    <t>Vendas</t>
  </si>
  <si>
    <t>Taxa de conversão</t>
  </si>
  <si>
    <t>BAIXO</t>
  </si>
  <si>
    <t>MEDIO</t>
  </si>
  <si>
    <t>ALTO</t>
  </si>
  <si>
    <t>MUITO ALTO</t>
  </si>
  <si>
    <t>Status</t>
  </si>
  <si>
    <t>Rótulos de Linha</t>
  </si>
  <si>
    <t>Total Geral</t>
  </si>
  <si>
    <t>Média de Taxa de conversão</t>
  </si>
  <si>
    <t>Previsão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</si>
</sst>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65" fontId="0" fillId="0" borderId="0" xfId="1" applyNumberFormat="1" applyFont="1"/>
    <xf numFmtId="164" fontId="0" fillId="0" borderId="0" xfId="1" applyFont="1"/>
    <xf numFmtId="43" fontId="0" fillId="0" borderId="0" xfId="0" applyNumberFormat="1"/>
    <xf numFmtId="9" fontId="0" fillId="0" borderId="0" xfId="2" applyFon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 Vendas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7214610673665792"/>
                  <c:y val="-0.255226742490522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Planilha1!$A$2:$A$201</c:f>
              <c:numCache>
                <c:formatCode>_(* #,##0_);_(* \(#,##0\);_(* "-"??_);_(@_)</c:formatCode>
                <c:ptCount val="200"/>
                <c:pt idx="0">
                  <c:v>2301</c:v>
                </c:pt>
                <c:pt idx="1">
                  <c:v>445</c:v>
                </c:pt>
                <c:pt idx="2">
                  <c:v>172</c:v>
                </c:pt>
                <c:pt idx="3">
                  <c:v>1515</c:v>
                </c:pt>
                <c:pt idx="4">
                  <c:v>1808</c:v>
                </c:pt>
                <c:pt idx="5">
                  <c:v>87</c:v>
                </c:pt>
                <c:pt idx="6">
                  <c:v>575</c:v>
                </c:pt>
                <c:pt idx="7">
                  <c:v>1202</c:v>
                </c:pt>
                <c:pt idx="8">
                  <c:v>86</c:v>
                </c:pt>
                <c:pt idx="9">
                  <c:v>1998</c:v>
                </c:pt>
                <c:pt idx="10">
                  <c:v>661</c:v>
                </c:pt>
                <c:pt idx="11">
                  <c:v>2147</c:v>
                </c:pt>
                <c:pt idx="12">
                  <c:v>238</c:v>
                </c:pt>
                <c:pt idx="13">
                  <c:v>975</c:v>
                </c:pt>
                <c:pt idx="14">
                  <c:v>2041</c:v>
                </c:pt>
                <c:pt idx="15">
                  <c:v>1954</c:v>
                </c:pt>
                <c:pt idx="16">
                  <c:v>678</c:v>
                </c:pt>
                <c:pt idx="17">
                  <c:v>2814</c:v>
                </c:pt>
                <c:pt idx="18">
                  <c:v>692</c:v>
                </c:pt>
                <c:pt idx="19">
                  <c:v>1473</c:v>
                </c:pt>
                <c:pt idx="20">
                  <c:v>2184</c:v>
                </c:pt>
                <c:pt idx="21">
                  <c:v>2374</c:v>
                </c:pt>
                <c:pt idx="22">
                  <c:v>132</c:v>
                </c:pt>
                <c:pt idx="23">
                  <c:v>2283</c:v>
                </c:pt>
                <c:pt idx="24">
                  <c:v>623</c:v>
                </c:pt>
                <c:pt idx="25">
                  <c:v>2629</c:v>
                </c:pt>
                <c:pt idx="26">
                  <c:v>1429</c:v>
                </c:pt>
                <c:pt idx="27">
                  <c:v>2401</c:v>
                </c:pt>
                <c:pt idx="28">
                  <c:v>2488</c:v>
                </c:pt>
                <c:pt idx="29">
                  <c:v>706</c:v>
                </c:pt>
                <c:pt idx="30">
                  <c:v>2929</c:v>
                </c:pt>
                <c:pt idx="31">
                  <c:v>1129</c:v>
                </c:pt>
                <c:pt idx="32">
                  <c:v>972</c:v>
                </c:pt>
                <c:pt idx="33">
                  <c:v>2656</c:v>
                </c:pt>
                <c:pt idx="34">
                  <c:v>957</c:v>
                </c:pt>
                <c:pt idx="35">
                  <c:v>2907</c:v>
                </c:pt>
                <c:pt idx="36">
                  <c:v>2669</c:v>
                </c:pt>
                <c:pt idx="37">
                  <c:v>747</c:v>
                </c:pt>
                <c:pt idx="38">
                  <c:v>431</c:v>
                </c:pt>
                <c:pt idx="39">
                  <c:v>228</c:v>
                </c:pt>
                <c:pt idx="40">
                  <c:v>2025</c:v>
                </c:pt>
                <c:pt idx="41">
                  <c:v>177</c:v>
                </c:pt>
                <c:pt idx="42">
                  <c:v>2936</c:v>
                </c:pt>
                <c:pt idx="43">
                  <c:v>2069</c:v>
                </c:pt>
                <c:pt idx="44">
                  <c:v>251</c:v>
                </c:pt>
                <c:pt idx="45">
                  <c:v>1751</c:v>
                </c:pt>
                <c:pt idx="46">
                  <c:v>897</c:v>
                </c:pt>
                <c:pt idx="47">
                  <c:v>2399</c:v>
                </c:pt>
                <c:pt idx="48">
                  <c:v>2272</c:v>
                </c:pt>
                <c:pt idx="49">
                  <c:v>669</c:v>
                </c:pt>
                <c:pt idx="50">
                  <c:v>1998</c:v>
                </c:pt>
                <c:pt idx="51">
                  <c:v>1004</c:v>
                </c:pt>
                <c:pt idx="52">
                  <c:v>2164</c:v>
                </c:pt>
                <c:pt idx="53">
                  <c:v>1826</c:v>
                </c:pt>
                <c:pt idx="54">
                  <c:v>2627</c:v>
                </c:pt>
                <c:pt idx="55">
                  <c:v>1989</c:v>
                </c:pt>
                <c:pt idx="56">
                  <c:v>73</c:v>
                </c:pt>
                <c:pt idx="57">
                  <c:v>1362</c:v>
                </c:pt>
                <c:pt idx="58">
                  <c:v>2108</c:v>
                </c:pt>
                <c:pt idx="59">
                  <c:v>2107</c:v>
                </c:pt>
                <c:pt idx="60">
                  <c:v>535</c:v>
                </c:pt>
                <c:pt idx="61">
                  <c:v>2613</c:v>
                </c:pt>
                <c:pt idx="62">
                  <c:v>2393</c:v>
                </c:pt>
                <c:pt idx="63">
                  <c:v>1027</c:v>
                </c:pt>
                <c:pt idx="64">
                  <c:v>1311</c:v>
                </c:pt>
                <c:pt idx="65">
                  <c:v>69</c:v>
                </c:pt>
                <c:pt idx="66">
                  <c:v>315</c:v>
                </c:pt>
                <c:pt idx="67">
                  <c:v>1393</c:v>
                </c:pt>
                <c:pt idx="68">
                  <c:v>2374</c:v>
                </c:pt>
                <c:pt idx="69">
                  <c:v>2168</c:v>
                </c:pt>
                <c:pt idx="70">
                  <c:v>1991</c:v>
                </c:pt>
                <c:pt idx="71">
                  <c:v>1098</c:v>
                </c:pt>
                <c:pt idx="72">
                  <c:v>268</c:v>
                </c:pt>
                <c:pt idx="73">
                  <c:v>1294</c:v>
                </c:pt>
                <c:pt idx="74">
                  <c:v>2134</c:v>
                </c:pt>
                <c:pt idx="75">
                  <c:v>169</c:v>
                </c:pt>
                <c:pt idx="76">
                  <c:v>275</c:v>
                </c:pt>
                <c:pt idx="77">
                  <c:v>1205</c:v>
                </c:pt>
                <c:pt idx="78">
                  <c:v>54</c:v>
                </c:pt>
                <c:pt idx="79">
                  <c:v>116</c:v>
                </c:pt>
                <c:pt idx="80">
                  <c:v>764</c:v>
                </c:pt>
                <c:pt idx="81">
                  <c:v>2398</c:v>
                </c:pt>
                <c:pt idx="82">
                  <c:v>753</c:v>
                </c:pt>
                <c:pt idx="83">
                  <c:v>684</c:v>
                </c:pt>
                <c:pt idx="84">
                  <c:v>2135</c:v>
                </c:pt>
                <c:pt idx="85">
                  <c:v>1932</c:v>
                </c:pt>
                <c:pt idx="86">
                  <c:v>763</c:v>
                </c:pt>
                <c:pt idx="87">
                  <c:v>1107</c:v>
                </c:pt>
                <c:pt idx="88">
                  <c:v>883</c:v>
                </c:pt>
                <c:pt idx="89">
                  <c:v>1098</c:v>
                </c:pt>
                <c:pt idx="90">
                  <c:v>1343</c:v>
                </c:pt>
                <c:pt idx="91">
                  <c:v>286</c:v>
                </c:pt>
                <c:pt idx="92">
                  <c:v>2177</c:v>
                </c:pt>
                <c:pt idx="93">
                  <c:v>2509</c:v>
                </c:pt>
                <c:pt idx="94">
                  <c:v>1074</c:v>
                </c:pt>
                <c:pt idx="95">
                  <c:v>1633</c:v>
                </c:pt>
                <c:pt idx="96">
                  <c:v>1976</c:v>
                </c:pt>
                <c:pt idx="97">
                  <c:v>1849</c:v>
                </c:pt>
                <c:pt idx="98">
                  <c:v>2897</c:v>
                </c:pt>
                <c:pt idx="99">
                  <c:v>1352</c:v>
                </c:pt>
                <c:pt idx="100">
                  <c:v>2224</c:v>
                </c:pt>
                <c:pt idx="101">
                  <c:v>2964</c:v>
                </c:pt>
                <c:pt idx="102">
                  <c:v>2802</c:v>
                </c:pt>
                <c:pt idx="103">
                  <c:v>1879</c:v>
                </c:pt>
                <c:pt idx="104">
                  <c:v>2382</c:v>
                </c:pt>
                <c:pt idx="105">
                  <c:v>1379</c:v>
                </c:pt>
                <c:pt idx="106">
                  <c:v>25</c:v>
                </c:pt>
                <c:pt idx="107">
                  <c:v>904</c:v>
                </c:pt>
                <c:pt idx="108">
                  <c:v>131</c:v>
                </c:pt>
                <c:pt idx="109">
                  <c:v>2554</c:v>
                </c:pt>
                <c:pt idx="110">
                  <c:v>2258</c:v>
                </c:pt>
                <c:pt idx="111">
                  <c:v>2417</c:v>
                </c:pt>
                <c:pt idx="112">
                  <c:v>1757</c:v>
                </c:pt>
                <c:pt idx="113">
                  <c:v>2096</c:v>
                </c:pt>
                <c:pt idx="114">
                  <c:v>782</c:v>
                </c:pt>
                <c:pt idx="115">
                  <c:v>751</c:v>
                </c:pt>
                <c:pt idx="116">
                  <c:v>1392</c:v>
                </c:pt>
                <c:pt idx="117">
                  <c:v>764</c:v>
                </c:pt>
                <c:pt idx="118">
                  <c:v>1257</c:v>
                </c:pt>
                <c:pt idx="119">
                  <c:v>194</c:v>
                </c:pt>
                <c:pt idx="120">
                  <c:v>1413</c:v>
                </c:pt>
                <c:pt idx="121">
                  <c:v>188</c:v>
                </c:pt>
                <c:pt idx="122">
                  <c:v>224</c:v>
                </c:pt>
                <c:pt idx="123">
                  <c:v>1231</c:v>
                </c:pt>
                <c:pt idx="124">
                  <c:v>2295</c:v>
                </c:pt>
                <c:pt idx="125">
                  <c:v>872</c:v>
                </c:pt>
                <c:pt idx="126">
                  <c:v>78</c:v>
                </c:pt>
                <c:pt idx="127">
                  <c:v>802</c:v>
                </c:pt>
                <c:pt idx="128">
                  <c:v>2203</c:v>
                </c:pt>
                <c:pt idx="129">
                  <c:v>596</c:v>
                </c:pt>
                <c:pt idx="130">
                  <c:v>7</c:v>
                </c:pt>
                <c:pt idx="131">
                  <c:v>2652</c:v>
                </c:pt>
                <c:pt idx="132">
                  <c:v>84</c:v>
                </c:pt>
                <c:pt idx="133">
                  <c:v>2198</c:v>
                </c:pt>
                <c:pt idx="134">
                  <c:v>369</c:v>
                </c:pt>
                <c:pt idx="135">
                  <c:v>483</c:v>
                </c:pt>
                <c:pt idx="136">
                  <c:v>256</c:v>
                </c:pt>
                <c:pt idx="137">
                  <c:v>2737</c:v>
                </c:pt>
                <c:pt idx="138">
                  <c:v>43</c:v>
                </c:pt>
                <c:pt idx="139">
                  <c:v>1849</c:v>
                </c:pt>
                <c:pt idx="140">
                  <c:v>734</c:v>
                </c:pt>
                <c:pt idx="141">
                  <c:v>1937</c:v>
                </c:pt>
                <c:pt idx="142">
                  <c:v>2205</c:v>
                </c:pt>
                <c:pt idx="143">
                  <c:v>1046</c:v>
                </c:pt>
                <c:pt idx="144">
                  <c:v>962</c:v>
                </c:pt>
                <c:pt idx="145">
                  <c:v>1403</c:v>
                </c:pt>
                <c:pt idx="146">
                  <c:v>2401</c:v>
                </c:pt>
                <c:pt idx="147">
                  <c:v>2432</c:v>
                </c:pt>
                <c:pt idx="148">
                  <c:v>38</c:v>
                </c:pt>
                <c:pt idx="149">
                  <c:v>447</c:v>
                </c:pt>
                <c:pt idx="150">
                  <c:v>2807</c:v>
                </c:pt>
                <c:pt idx="151">
                  <c:v>121</c:v>
                </c:pt>
                <c:pt idx="152">
                  <c:v>1976</c:v>
                </c:pt>
                <c:pt idx="153">
                  <c:v>1713</c:v>
                </c:pt>
                <c:pt idx="154">
                  <c:v>1878</c:v>
                </c:pt>
                <c:pt idx="155">
                  <c:v>41</c:v>
                </c:pt>
                <c:pt idx="156">
                  <c:v>939</c:v>
                </c:pt>
                <c:pt idx="157">
                  <c:v>1498</c:v>
                </c:pt>
                <c:pt idx="158">
                  <c:v>117</c:v>
                </c:pt>
                <c:pt idx="159">
                  <c:v>1317</c:v>
                </c:pt>
                <c:pt idx="160">
                  <c:v>1725</c:v>
                </c:pt>
                <c:pt idx="161">
                  <c:v>857</c:v>
                </c:pt>
                <c:pt idx="162">
                  <c:v>1884</c:v>
                </c:pt>
                <c:pt idx="163">
                  <c:v>1635</c:v>
                </c:pt>
                <c:pt idx="164">
                  <c:v>1172</c:v>
                </c:pt>
                <c:pt idx="165">
                  <c:v>2345</c:v>
                </c:pt>
                <c:pt idx="166">
                  <c:v>179</c:v>
                </c:pt>
                <c:pt idx="167">
                  <c:v>2068</c:v>
                </c:pt>
                <c:pt idx="168">
                  <c:v>2154</c:v>
                </c:pt>
                <c:pt idx="169">
                  <c:v>2843</c:v>
                </c:pt>
                <c:pt idx="170">
                  <c:v>50</c:v>
                </c:pt>
                <c:pt idx="171">
                  <c:v>1645</c:v>
                </c:pt>
                <c:pt idx="172">
                  <c:v>196</c:v>
                </c:pt>
                <c:pt idx="173">
                  <c:v>1684</c:v>
                </c:pt>
                <c:pt idx="174">
                  <c:v>2224</c:v>
                </c:pt>
                <c:pt idx="175">
                  <c:v>2769</c:v>
                </c:pt>
                <c:pt idx="176">
                  <c:v>2484</c:v>
                </c:pt>
                <c:pt idx="177">
                  <c:v>1702</c:v>
                </c:pt>
                <c:pt idx="178">
                  <c:v>2767</c:v>
                </c:pt>
                <c:pt idx="179">
                  <c:v>1656</c:v>
                </c:pt>
                <c:pt idx="180">
                  <c:v>1566</c:v>
                </c:pt>
                <c:pt idx="181">
                  <c:v>2185</c:v>
                </c:pt>
                <c:pt idx="182">
                  <c:v>562</c:v>
                </c:pt>
                <c:pt idx="183">
                  <c:v>2876</c:v>
                </c:pt>
                <c:pt idx="184">
                  <c:v>2538</c:v>
                </c:pt>
                <c:pt idx="185">
                  <c:v>205</c:v>
                </c:pt>
                <c:pt idx="186">
                  <c:v>1395</c:v>
                </c:pt>
                <c:pt idx="187">
                  <c:v>1911</c:v>
                </c:pt>
                <c:pt idx="188">
                  <c:v>286</c:v>
                </c:pt>
                <c:pt idx="189">
                  <c:v>187</c:v>
                </c:pt>
                <c:pt idx="190">
                  <c:v>395</c:v>
                </c:pt>
                <c:pt idx="191">
                  <c:v>755</c:v>
                </c:pt>
                <c:pt idx="192">
                  <c:v>172</c:v>
                </c:pt>
                <c:pt idx="193">
                  <c:v>1668</c:v>
                </c:pt>
                <c:pt idx="194">
                  <c:v>1497</c:v>
                </c:pt>
                <c:pt idx="195">
                  <c:v>382</c:v>
                </c:pt>
                <c:pt idx="196">
                  <c:v>942</c:v>
                </c:pt>
                <c:pt idx="197">
                  <c:v>177</c:v>
                </c:pt>
                <c:pt idx="198">
                  <c:v>2836</c:v>
                </c:pt>
                <c:pt idx="199">
                  <c:v>2321</c:v>
                </c:pt>
              </c:numCache>
            </c:numRef>
          </c:xVal>
          <c:yVal>
            <c:numRef>
              <c:f>Planilha1!$B$2:$B$201</c:f>
              <c:numCache>
                <c:formatCode>_(* #,##0_);_(* \(#,##0\);_(* "-"??_);_(@_)</c:formatCode>
                <c:ptCount val="200"/>
                <c:pt idx="0">
                  <c:v>221</c:v>
                </c:pt>
                <c:pt idx="1">
                  <c:v>104</c:v>
                </c:pt>
                <c:pt idx="2">
                  <c:v>12</c:v>
                </c:pt>
                <c:pt idx="3">
                  <c:v>165</c:v>
                </c:pt>
                <c:pt idx="4">
                  <c:v>179</c:v>
                </c:pt>
                <c:pt idx="5">
                  <c:v>72</c:v>
                </c:pt>
                <c:pt idx="6">
                  <c:v>118</c:v>
                </c:pt>
                <c:pt idx="7">
                  <c:v>132</c:v>
                </c:pt>
                <c:pt idx="8">
                  <c:v>48</c:v>
                </c:pt>
                <c:pt idx="9">
                  <c:v>156</c:v>
                </c:pt>
                <c:pt idx="10">
                  <c:v>126</c:v>
                </c:pt>
                <c:pt idx="11">
                  <c:v>174</c:v>
                </c:pt>
                <c:pt idx="12">
                  <c:v>92</c:v>
                </c:pt>
                <c:pt idx="13">
                  <c:v>137</c:v>
                </c:pt>
                <c:pt idx="14">
                  <c:v>19</c:v>
                </c:pt>
                <c:pt idx="15">
                  <c:v>224</c:v>
                </c:pt>
                <c:pt idx="16">
                  <c:v>125</c:v>
                </c:pt>
                <c:pt idx="17">
                  <c:v>244</c:v>
                </c:pt>
                <c:pt idx="18">
                  <c:v>113</c:v>
                </c:pt>
                <c:pt idx="19">
                  <c:v>146</c:v>
                </c:pt>
                <c:pt idx="20">
                  <c:v>18</c:v>
                </c:pt>
                <c:pt idx="21">
                  <c:v>175</c:v>
                </c:pt>
                <c:pt idx="22">
                  <c:v>56</c:v>
                </c:pt>
                <c:pt idx="23">
                  <c:v>205</c:v>
                </c:pt>
                <c:pt idx="24">
                  <c:v>97</c:v>
                </c:pt>
                <c:pt idx="25">
                  <c:v>17</c:v>
                </c:pt>
                <c:pt idx="26">
                  <c:v>15</c:v>
                </c:pt>
                <c:pt idx="27">
                  <c:v>209</c:v>
                </c:pt>
                <c:pt idx="28">
                  <c:v>189</c:v>
                </c:pt>
                <c:pt idx="29">
                  <c:v>105</c:v>
                </c:pt>
                <c:pt idx="30">
                  <c:v>214</c:v>
                </c:pt>
                <c:pt idx="31">
                  <c:v>119</c:v>
                </c:pt>
                <c:pt idx="32">
                  <c:v>132</c:v>
                </c:pt>
                <c:pt idx="33">
                  <c:v>174</c:v>
                </c:pt>
                <c:pt idx="34">
                  <c:v>119</c:v>
                </c:pt>
                <c:pt idx="35">
                  <c:v>178</c:v>
                </c:pt>
                <c:pt idx="36">
                  <c:v>254</c:v>
                </c:pt>
                <c:pt idx="37">
                  <c:v>147</c:v>
                </c:pt>
                <c:pt idx="38">
                  <c:v>101</c:v>
                </c:pt>
                <c:pt idx="39">
                  <c:v>215</c:v>
                </c:pt>
                <c:pt idx="40">
                  <c:v>166</c:v>
                </c:pt>
                <c:pt idx="41">
                  <c:v>171</c:v>
                </c:pt>
                <c:pt idx="42">
                  <c:v>207</c:v>
                </c:pt>
                <c:pt idx="43">
                  <c:v>179</c:v>
                </c:pt>
                <c:pt idx="44">
                  <c:v>85</c:v>
                </c:pt>
                <c:pt idx="45">
                  <c:v>161</c:v>
                </c:pt>
                <c:pt idx="46">
                  <c:v>106</c:v>
                </c:pt>
                <c:pt idx="47">
                  <c:v>232</c:v>
                </c:pt>
                <c:pt idx="48">
                  <c:v>198</c:v>
                </c:pt>
                <c:pt idx="49">
                  <c:v>97</c:v>
                </c:pt>
                <c:pt idx="50">
                  <c:v>164</c:v>
                </c:pt>
                <c:pt idx="51">
                  <c:v>107</c:v>
                </c:pt>
                <c:pt idx="52">
                  <c:v>226</c:v>
                </c:pt>
                <c:pt idx="53">
                  <c:v>212</c:v>
                </c:pt>
                <c:pt idx="54">
                  <c:v>202</c:v>
                </c:pt>
                <c:pt idx="55">
                  <c:v>237</c:v>
                </c:pt>
                <c:pt idx="56">
                  <c:v>55</c:v>
                </c:pt>
                <c:pt idx="57">
                  <c:v>132</c:v>
                </c:pt>
                <c:pt idx="58">
                  <c:v>238</c:v>
                </c:pt>
                <c:pt idx="59">
                  <c:v>184</c:v>
                </c:pt>
                <c:pt idx="60">
                  <c:v>81</c:v>
                </c:pt>
                <c:pt idx="61">
                  <c:v>242</c:v>
                </c:pt>
                <c:pt idx="62">
                  <c:v>207</c:v>
                </c:pt>
                <c:pt idx="63">
                  <c:v>14</c:v>
                </c:pt>
                <c:pt idx="64">
                  <c:v>16</c:v>
                </c:pt>
                <c:pt idx="65">
                  <c:v>113</c:v>
                </c:pt>
                <c:pt idx="66">
                  <c:v>11</c:v>
                </c:pt>
                <c:pt idx="67">
                  <c:v>134</c:v>
                </c:pt>
                <c:pt idx="68">
                  <c:v>189</c:v>
                </c:pt>
                <c:pt idx="69">
                  <c:v>223</c:v>
                </c:pt>
                <c:pt idx="70">
                  <c:v>183</c:v>
                </c:pt>
                <c:pt idx="71">
                  <c:v>124</c:v>
                </c:pt>
                <c:pt idx="72">
                  <c:v>88</c:v>
                </c:pt>
                <c:pt idx="73">
                  <c:v>11</c:v>
                </c:pt>
                <c:pt idx="74">
                  <c:v>17</c:v>
                </c:pt>
                <c:pt idx="75">
                  <c:v>87</c:v>
                </c:pt>
                <c:pt idx="76">
                  <c:v>69</c:v>
                </c:pt>
                <c:pt idx="77">
                  <c:v>142</c:v>
                </c:pt>
                <c:pt idx="78">
                  <c:v>53</c:v>
                </c:pt>
                <c:pt idx="79">
                  <c:v>11</c:v>
                </c:pt>
                <c:pt idx="80">
                  <c:v>118</c:v>
                </c:pt>
                <c:pt idx="81">
                  <c:v>173</c:v>
                </c:pt>
                <c:pt idx="82">
                  <c:v>113</c:v>
                </c:pt>
                <c:pt idx="83">
                  <c:v>136</c:v>
                </c:pt>
                <c:pt idx="84">
                  <c:v>217</c:v>
                </c:pt>
                <c:pt idx="85">
                  <c:v>202</c:v>
                </c:pt>
                <c:pt idx="86">
                  <c:v>12</c:v>
                </c:pt>
                <c:pt idx="87">
                  <c:v>16</c:v>
                </c:pt>
                <c:pt idx="88">
                  <c:v>129</c:v>
                </c:pt>
                <c:pt idx="89">
                  <c:v>167</c:v>
                </c:pt>
                <c:pt idx="90">
                  <c:v>14</c:v>
                </c:pt>
                <c:pt idx="91">
                  <c:v>73</c:v>
                </c:pt>
                <c:pt idx="92">
                  <c:v>194</c:v>
                </c:pt>
                <c:pt idx="93">
                  <c:v>222</c:v>
                </c:pt>
                <c:pt idx="94">
                  <c:v>115</c:v>
                </c:pt>
                <c:pt idx="95">
                  <c:v>169</c:v>
                </c:pt>
                <c:pt idx="96">
                  <c:v>167</c:v>
                </c:pt>
                <c:pt idx="97">
                  <c:v>205</c:v>
                </c:pt>
                <c:pt idx="98">
                  <c:v>254</c:v>
                </c:pt>
                <c:pt idx="99">
                  <c:v>172</c:v>
                </c:pt>
                <c:pt idx="100">
                  <c:v>167</c:v>
                </c:pt>
                <c:pt idx="101">
                  <c:v>238</c:v>
                </c:pt>
                <c:pt idx="102">
                  <c:v>198</c:v>
                </c:pt>
                <c:pt idx="103">
                  <c:v>197</c:v>
                </c:pt>
                <c:pt idx="104">
                  <c:v>207</c:v>
                </c:pt>
                <c:pt idx="105">
                  <c:v>15</c:v>
                </c:pt>
                <c:pt idx="106">
                  <c:v>72</c:v>
                </c:pt>
                <c:pt idx="107">
                  <c:v>12</c:v>
                </c:pt>
                <c:pt idx="108">
                  <c:v>53</c:v>
                </c:pt>
                <c:pt idx="109">
                  <c:v>198</c:v>
                </c:pt>
                <c:pt idx="110">
                  <c:v>184</c:v>
                </c:pt>
                <c:pt idx="111">
                  <c:v>218</c:v>
                </c:pt>
                <c:pt idx="112">
                  <c:v>171</c:v>
                </c:pt>
                <c:pt idx="113">
                  <c:v>209</c:v>
                </c:pt>
                <c:pt idx="114">
                  <c:v>146</c:v>
                </c:pt>
                <c:pt idx="115">
                  <c:v>126</c:v>
                </c:pt>
                <c:pt idx="116">
                  <c:v>122</c:v>
                </c:pt>
                <c:pt idx="117">
                  <c:v>94</c:v>
                </c:pt>
                <c:pt idx="118">
                  <c:v>159</c:v>
                </c:pt>
                <c:pt idx="119">
                  <c:v>66</c:v>
                </c:pt>
                <c:pt idx="120">
                  <c:v>155</c:v>
                </c:pt>
                <c:pt idx="121">
                  <c:v>7</c:v>
                </c:pt>
                <c:pt idx="122">
                  <c:v>166</c:v>
                </c:pt>
                <c:pt idx="123">
                  <c:v>152</c:v>
                </c:pt>
                <c:pt idx="124">
                  <c:v>197</c:v>
                </c:pt>
                <c:pt idx="125">
                  <c:v>106</c:v>
                </c:pt>
                <c:pt idx="126">
                  <c:v>66</c:v>
                </c:pt>
                <c:pt idx="127">
                  <c:v>119</c:v>
                </c:pt>
                <c:pt idx="128">
                  <c:v>247</c:v>
                </c:pt>
                <c:pt idx="129">
                  <c:v>97</c:v>
                </c:pt>
                <c:pt idx="130">
                  <c:v>16</c:v>
                </c:pt>
                <c:pt idx="131">
                  <c:v>177</c:v>
                </c:pt>
                <c:pt idx="132">
                  <c:v>57</c:v>
                </c:pt>
                <c:pt idx="133">
                  <c:v>196</c:v>
                </c:pt>
                <c:pt idx="134">
                  <c:v>108</c:v>
                </c:pt>
                <c:pt idx="135">
                  <c:v>116</c:v>
                </c:pt>
                <c:pt idx="136">
                  <c:v>95</c:v>
                </c:pt>
                <c:pt idx="137">
                  <c:v>208</c:v>
                </c:pt>
                <c:pt idx="138">
                  <c:v>96</c:v>
                </c:pt>
                <c:pt idx="139">
                  <c:v>207</c:v>
                </c:pt>
                <c:pt idx="140">
                  <c:v>109</c:v>
                </c:pt>
                <c:pt idx="141">
                  <c:v>192</c:v>
                </c:pt>
                <c:pt idx="142">
                  <c:v>201</c:v>
                </c:pt>
                <c:pt idx="143">
                  <c:v>104</c:v>
                </c:pt>
                <c:pt idx="144">
                  <c:v>123</c:v>
                </c:pt>
                <c:pt idx="145">
                  <c:v>103</c:v>
                </c:pt>
                <c:pt idx="146">
                  <c:v>182</c:v>
                </c:pt>
                <c:pt idx="147">
                  <c:v>254</c:v>
                </c:pt>
                <c:pt idx="148">
                  <c:v>109</c:v>
                </c:pt>
                <c:pt idx="149">
                  <c:v>101</c:v>
                </c:pt>
                <c:pt idx="150">
                  <c:v>161</c:v>
                </c:pt>
                <c:pt idx="151">
                  <c:v>116</c:v>
                </c:pt>
                <c:pt idx="152">
                  <c:v>166</c:v>
                </c:pt>
                <c:pt idx="153">
                  <c:v>16</c:v>
                </c:pt>
                <c:pt idx="154">
                  <c:v>206</c:v>
                </c:pt>
                <c:pt idx="155">
                  <c:v>32</c:v>
                </c:pt>
                <c:pt idx="156">
                  <c:v>153</c:v>
                </c:pt>
                <c:pt idx="157">
                  <c:v>101</c:v>
                </c:pt>
                <c:pt idx="158">
                  <c:v>73</c:v>
                </c:pt>
                <c:pt idx="159">
                  <c:v>129</c:v>
                </c:pt>
                <c:pt idx="160">
                  <c:v>164</c:v>
                </c:pt>
                <c:pt idx="161">
                  <c:v>133</c:v>
                </c:pt>
                <c:pt idx="162">
                  <c:v>199</c:v>
                </c:pt>
                <c:pt idx="163">
                  <c:v>18</c:v>
                </c:pt>
                <c:pt idx="164">
                  <c:v>119</c:v>
                </c:pt>
                <c:pt idx="165">
                  <c:v>169</c:v>
                </c:pt>
                <c:pt idx="166">
                  <c:v>8</c:v>
                </c:pt>
                <c:pt idx="167">
                  <c:v>172</c:v>
                </c:pt>
                <c:pt idx="168">
                  <c:v>171</c:v>
                </c:pt>
                <c:pt idx="169">
                  <c:v>20</c:v>
                </c:pt>
                <c:pt idx="170">
                  <c:v>84</c:v>
                </c:pt>
                <c:pt idx="171">
                  <c:v>175</c:v>
                </c:pt>
                <c:pt idx="172">
                  <c:v>76</c:v>
                </c:pt>
                <c:pt idx="173">
                  <c:v>167</c:v>
                </c:pt>
                <c:pt idx="174">
                  <c:v>165</c:v>
                </c:pt>
                <c:pt idx="175">
                  <c:v>27</c:v>
                </c:pt>
                <c:pt idx="176">
                  <c:v>202</c:v>
                </c:pt>
                <c:pt idx="177">
                  <c:v>167</c:v>
                </c:pt>
                <c:pt idx="178">
                  <c:v>168</c:v>
                </c:pt>
                <c:pt idx="179">
                  <c:v>176</c:v>
                </c:pt>
                <c:pt idx="180">
                  <c:v>155</c:v>
                </c:pt>
                <c:pt idx="181">
                  <c:v>172</c:v>
                </c:pt>
                <c:pt idx="182">
                  <c:v>87</c:v>
                </c:pt>
                <c:pt idx="183">
                  <c:v>262</c:v>
                </c:pt>
                <c:pt idx="184">
                  <c:v>176</c:v>
                </c:pt>
                <c:pt idx="185">
                  <c:v>226</c:v>
                </c:pt>
                <c:pt idx="186">
                  <c:v>103</c:v>
                </c:pt>
                <c:pt idx="187">
                  <c:v>173</c:v>
                </c:pt>
                <c:pt idx="188">
                  <c:v>209</c:v>
                </c:pt>
                <c:pt idx="189">
                  <c:v>67</c:v>
                </c:pt>
                <c:pt idx="190">
                  <c:v>108</c:v>
                </c:pt>
                <c:pt idx="191">
                  <c:v>119</c:v>
                </c:pt>
                <c:pt idx="192">
                  <c:v>59</c:v>
                </c:pt>
                <c:pt idx="193">
                  <c:v>196</c:v>
                </c:pt>
                <c:pt idx="194">
                  <c:v>173</c:v>
                </c:pt>
                <c:pt idx="195">
                  <c:v>76</c:v>
                </c:pt>
                <c:pt idx="196">
                  <c:v>14</c:v>
                </c:pt>
                <c:pt idx="197">
                  <c:v>148</c:v>
                </c:pt>
                <c:pt idx="198">
                  <c:v>255</c:v>
                </c:pt>
                <c:pt idx="199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29-4181-985C-68B055919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102832"/>
        <c:axId val="617111112"/>
      </c:scatterChart>
      <c:valAx>
        <c:axId val="61710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7111112"/>
        <c:crosses val="autoZero"/>
        <c:crossBetween val="midCat"/>
      </c:valAx>
      <c:valAx>
        <c:axId val="617111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7102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</xdr:colOff>
      <xdr:row>0</xdr:row>
      <xdr:rowOff>125730</xdr:rowOff>
    </xdr:from>
    <xdr:to>
      <xdr:col>16</xdr:col>
      <xdr:colOff>320040</xdr:colOff>
      <xdr:row>15</xdr:row>
      <xdr:rowOff>125730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4BCB99-896A-C771-EAEA-35D4377AD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" refreshedDate="46046.670781365741" createdVersion="8" refreshedVersion="8" minRefreshableVersion="3" recordCount="200" xr:uid="{21011CD7-69B7-4CEE-B105-1F819F4B5DAA}">
  <cacheSource type="worksheet">
    <worksheetSource ref="A1:D201" sheet="Planilha1"/>
  </cacheSource>
  <cacheFields count="4">
    <cacheField name="Visualizações" numFmtId="165">
      <sharedItems containsSemiMixedTypes="0" containsString="0" containsNumber="1" containsInteger="1" minValue="7" maxValue="2964"/>
    </cacheField>
    <cacheField name="Vendas" numFmtId="165">
      <sharedItems containsSemiMixedTypes="0" containsString="0" containsNumber="1" containsInteger="1" minValue="7" maxValue="262"/>
    </cacheField>
    <cacheField name="Taxa de conversão" numFmtId="9">
      <sharedItems containsSemiMixedTypes="0" containsString="0" containsNumber="1" minValue="6.4663370102700643E-3" maxValue="2.88" count="200">
        <n v="9.6045197740112997E-2"/>
        <n v="0.23370786516853934"/>
        <n v="6.9767441860465115E-2"/>
        <n v="0.10891089108910891"/>
        <n v="9.9004424778761063E-2"/>
        <n v="0.82758620689655171"/>
        <n v="0.20521739130434782"/>
        <n v="0.10981697171381032"/>
        <n v="0.55813953488372092"/>
        <n v="7.8078078078078081E-2"/>
        <n v="0.19062027231467474"/>
        <n v="8.1043316255239875E-2"/>
        <n v="0.38655462184873951"/>
        <n v="0.14051282051282052"/>
        <n v="9.309162175404213E-3"/>
        <n v="0.11463664278403275"/>
        <n v="0.18436578171091444"/>
        <n v="8.6709310589907607E-2"/>
        <n v="0.16329479768786126"/>
        <n v="9.9117447386286486E-2"/>
        <n v="8.241758241758242E-3"/>
        <n v="7.3715248525695026E-2"/>
        <n v="0.42424242424242425"/>
        <n v="8.9794130530004374E-2"/>
        <n v="0.15569823434991975"/>
        <n v="6.4663370102700643E-3"/>
        <n v="1.0496850944716585E-2"/>
        <n v="8.7047063723448559E-2"/>
        <n v="7.596463022508039E-2"/>
        <n v="0.14872521246458922"/>
        <n v="7.3062478661659269E-2"/>
        <n v="0.1054030115146147"/>
        <n v="0.13580246913580246"/>
        <n v="6.551204819277108E-2"/>
        <n v="0.12434691745036573"/>
        <n v="6.1231510147918819E-2"/>
        <n v="9.5166729112026976E-2"/>
        <n v="0.19678714859437751"/>
        <n v="0.23433874709976799"/>
        <n v="0.94298245614035092"/>
        <n v="8.1975308641975303E-2"/>
        <n v="0.96610169491525422"/>
        <n v="7.0504087193460491E-2"/>
        <n v="8.6515224746254227E-2"/>
        <n v="0.3386454183266932"/>
        <n v="9.1947458595088516E-2"/>
        <n v="0.11817168338907469"/>
        <n v="9.6706961233847435E-2"/>
        <n v="8.7147887323943657E-2"/>
        <n v="0.14499252615844543"/>
        <n v="8.2082082082082078E-2"/>
        <n v="0.10657370517928287"/>
        <n v="0.1044362292051756"/>
        <n v="0.11610076670317634"/>
        <n v="7.6893795203654358E-2"/>
        <n v="0.1191553544494721"/>
        <n v="0.75342465753424659"/>
        <n v="9.6916299559471369E-2"/>
        <n v="0.11290322580645161"/>
        <n v="8.7327954437588992E-2"/>
        <n v="0.15140186915887852"/>
        <n v="9.2613853807883659E-2"/>
        <n v="8.6502298370246547E-2"/>
        <n v="1.3631937682570594E-2"/>
        <n v="1.2204424103737605E-2"/>
        <n v="1.6376811594202898"/>
        <n v="3.4920634920634921E-2"/>
        <n v="9.6195262024407757E-2"/>
        <n v="7.9612468407750631E-2"/>
        <n v="0.10285977859778597"/>
        <n v="9.191361125062783E-2"/>
        <n v="0.11293260473588343"/>
        <n v="0.32835820895522388"/>
        <n v="8.5007727975270481E-3"/>
        <n v="7.9662605435801316E-3"/>
        <n v="0.51479289940828399"/>
        <n v="0.25090909090909091"/>
        <n v="0.11784232365145228"/>
        <n v="0.98148148148148151"/>
        <n v="9.4827586206896547E-2"/>
        <n v="0.15445026178010471"/>
        <n v="7.2143452877397832E-2"/>
        <n v="0.150066401062417"/>
        <n v="0.19883040935672514"/>
        <n v="0.10163934426229508"/>
        <n v="0.10455486542443064"/>
        <n v="1.5727391874180863E-2"/>
        <n v="1.4453477868112014E-2"/>
        <n v="0.14609286523216308"/>
        <n v="0.15209471766848817"/>
        <n v="1.0424422933730455E-2"/>
        <n v="0.25524475524475526"/>
        <n v="8.9113458888378502E-2"/>
        <n v="8.8481466719808693E-2"/>
        <n v="0.10707635009310987"/>
        <n v="0.10349050826699327"/>
        <n v="8.4514170040485836E-2"/>
        <n v="0.11087074094104922"/>
        <n v="8.7676907145322752E-2"/>
        <n v="0.12721893491124261"/>
        <n v="7.5089928057553962E-2"/>
        <n v="8.0296896086369765E-2"/>
        <n v="7.0663811563169171E-2"/>
        <n v="0.10484300159659393"/>
        <n v="8.6901763224181361E-2"/>
        <n v="1.0877447425670777E-2"/>
        <n v="2.88"/>
        <n v="1.3274336283185841E-2"/>
        <n v="0.40458015267175573"/>
        <n v="7.752545027407988E-2"/>
        <n v="8.1488042515500445E-2"/>
        <n v="9.0194455937112117E-2"/>
        <n v="9.7324985771200911E-2"/>
        <n v="9.9713740458015274E-2"/>
        <n v="0.1867007672634271"/>
        <n v="0.16777629826897469"/>
        <n v="8.7643678160919544E-2"/>
        <n v="0.12303664921465969"/>
        <n v="0.12649164677804295"/>
        <n v="0.34020618556701032"/>
        <n v="0.10969568294409059"/>
        <n v="3.7234042553191488E-2"/>
        <n v="0.7410714285714286"/>
        <n v="0.12347684809098294"/>
        <n v="8.5838779956427011E-2"/>
        <n v="0.12155963302752294"/>
        <n v="0.84615384615384615"/>
        <n v="0.14837905236907731"/>
        <n v="0.112119836586473"/>
        <n v="0.16275167785234898"/>
        <n v="2.2857142857142856"/>
        <n v="6.67420814479638E-2"/>
        <n v="0.6785714285714286"/>
        <n v="8.9171974522292988E-2"/>
        <n v="0.29268292682926828"/>
        <n v="0.2401656314699793"/>
        <n v="0.37109375"/>
        <n v="7.5995615637559369E-2"/>
        <n v="2.2325581395348837"/>
        <n v="0.11195240670632775"/>
        <n v="0.14850136239782016"/>
        <n v="9.9122354155911196E-2"/>
        <n v="9.1156462585034015E-2"/>
        <n v="9.9426386233269604E-2"/>
        <n v="0.12785862785862787"/>
        <n v="7.3414112615823229E-2"/>
        <n v="7.5801749271137031E-2"/>
        <n v="0.10444078947368421"/>
        <n v="2.8684210526315788"/>
        <n v="0.22595078299776286"/>
        <n v="5.7356608478802994E-2"/>
        <n v="0.95867768595041325"/>
        <n v="8.4008097165991905E-2"/>
        <n v="9.3403385872737887E-3"/>
        <n v="0.10969116080937168"/>
        <n v="0.78048780487804881"/>
        <n v="0.16293929712460065"/>
        <n v="6.7423230974632847E-2"/>
        <n v="0.62393162393162394"/>
        <n v="9.7949886104783598E-2"/>
        <n v="9.5072463768115942E-2"/>
        <n v="0.15519253208868145"/>
        <n v="0.10562632696390659"/>
        <n v="1.1009174311926606E-2"/>
        <n v="0.1015358361774744"/>
        <n v="7.2068230277185508E-2"/>
        <n v="4.4692737430167599E-2"/>
        <n v="8.3172147001934232E-2"/>
        <n v="7.9387186629526457E-2"/>
        <n v="7.0348223707351392E-3"/>
        <n v="1.68"/>
        <n v="0.10638297872340426"/>
        <n v="0.38775510204081631"/>
        <n v="9.9168646080760092E-2"/>
        <n v="7.4190647482014385E-2"/>
        <n v="9.7508125677139759E-3"/>
        <n v="8.1320450885668277E-2"/>
        <n v="9.8119858989424213E-2"/>
        <n v="6.0715576436573909E-2"/>
        <n v="0.10628019323671498"/>
        <n v="9.8978288633461045E-2"/>
        <n v="7.8718535469107551E-2"/>
        <n v="0.15480427046263345"/>
        <n v="9.1098748261474266E-2"/>
        <n v="6.9345941686367221E-2"/>
        <n v="1.102439024390244"/>
        <n v="7.3835125448028671E-2"/>
        <n v="9.0528519099947677E-2"/>
        <n v="0.73076923076923073"/>
        <n v="0.35828877005347592"/>
        <n v="0.27341772151898736"/>
        <n v="0.15761589403973511"/>
        <n v="0.34302325581395349"/>
        <n v="0.11750599520383694"/>
        <n v="0.11556446225784903"/>
        <n v="0.19895287958115182"/>
        <n v="1.4861995753715499E-2"/>
        <n v="0.83615819209039544"/>
        <n v="8.9915373765867418E-2"/>
        <n v="7.9276174062903923E-2"/>
      </sharedItems>
    </cacheField>
    <cacheField name="Status" numFmtId="0">
      <sharedItems count="4">
        <s v="BAIXO"/>
        <s v="ALTO"/>
        <s v="MEDIO"/>
        <s v="MUITO ALT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2301"/>
    <n v="221"/>
    <x v="0"/>
    <x v="0"/>
  </r>
  <r>
    <n v="445"/>
    <n v="104"/>
    <x v="1"/>
    <x v="0"/>
  </r>
  <r>
    <n v="172"/>
    <n v="12"/>
    <x v="2"/>
    <x v="0"/>
  </r>
  <r>
    <n v="1515"/>
    <n v="165"/>
    <x v="3"/>
    <x v="0"/>
  </r>
  <r>
    <n v="1808"/>
    <n v="179"/>
    <x v="4"/>
    <x v="0"/>
  </r>
  <r>
    <n v="87"/>
    <n v="72"/>
    <x v="5"/>
    <x v="1"/>
  </r>
  <r>
    <n v="575"/>
    <n v="118"/>
    <x v="6"/>
    <x v="0"/>
  </r>
  <r>
    <n v="1202"/>
    <n v="132"/>
    <x v="7"/>
    <x v="0"/>
  </r>
  <r>
    <n v="86"/>
    <n v="48"/>
    <x v="8"/>
    <x v="1"/>
  </r>
  <r>
    <n v="1998"/>
    <n v="156"/>
    <x v="9"/>
    <x v="0"/>
  </r>
  <r>
    <n v="661"/>
    <n v="126"/>
    <x v="10"/>
    <x v="0"/>
  </r>
  <r>
    <n v="2147"/>
    <n v="174"/>
    <x v="11"/>
    <x v="0"/>
  </r>
  <r>
    <n v="238"/>
    <n v="92"/>
    <x v="12"/>
    <x v="2"/>
  </r>
  <r>
    <n v="975"/>
    <n v="137"/>
    <x v="13"/>
    <x v="0"/>
  </r>
  <r>
    <n v="2041"/>
    <n v="19"/>
    <x v="14"/>
    <x v="0"/>
  </r>
  <r>
    <n v="1954"/>
    <n v="224"/>
    <x v="15"/>
    <x v="0"/>
  </r>
  <r>
    <n v="678"/>
    <n v="125"/>
    <x v="16"/>
    <x v="0"/>
  </r>
  <r>
    <n v="2814"/>
    <n v="244"/>
    <x v="17"/>
    <x v="0"/>
  </r>
  <r>
    <n v="692"/>
    <n v="113"/>
    <x v="18"/>
    <x v="0"/>
  </r>
  <r>
    <n v="1473"/>
    <n v="146"/>
    <x v="19"/>
    <x v="0"/>
  </r>
  <r>
    <n v="2184"/>
    <n v="18"/>
    <x v="20"/>
    <x v="0"/>
  </r>
  <r>
    <n v="2374"/>
    <n v="175"/>
    <x v="21"/>
    <x v="0"/>
  </r>
  <r>
    <n v="132"/>
    <n v="56"/>
    <x v="22"/>
    <x v="2"/>
  </r>
  <r>
    <n v="2283"/>
    <n v="205"/>
    <x v="23"/>
    <x v="0"/>
  </r>
  <r>
    <n v="623"/>
    <n v="97"/>
    <x v="24"/>
    <x v="0"/>
  </r>
  <r>
    <n v="2629"/>
    <n v="17"/>
    <x v="25"/>
    <x v="0"/>
  </r>
  <r>
    <n v="1429"/>
    <n v="15"/>
    <x v="26"/>
    <x v="0"/>
  </r>
  <r>
    <n v="2401"/>
    <n v="209"/>
    <x v="27"/>
    <x v="0"/>
  </r>
  <r>
    <n v="2488"/>
    <n v="189"/>
    <x v="28"/>
    <x v="0"/>
  </r>
  <r>
    <n v="706"/>
    <n v="105"/>
    <x v="29"/>
    <x v="0"/>
  </r>
  <r>
    <n v="2929"/>
    <n v="214"/>
    <x v="30"/>
    <x v="0"/>
  </r>
  <r>
    <n v="1129"/>
    <n v="119"/>
    <x v="31"/>
    <x v="0"/>
  </r>
  <r>
    <n v="972"/>
    <n v="132"/>
    <x v="32"/>
    <x v="0"/>
  </r>
  <r>
    <n v="2656"/>
    <n v="174"/>
    <x v="33"/>
    <x v="0"/>
  </r>
  <r>
    <n v="957"/>
    <n v="119"/>
    <x v="34"/>
    <x v="0"/>
  </r>
  <r>
    <n v="2907"/>
    <n v="178"/>
    <x v="35"/>
    <x v="0"/>
  </r>
  <r>
    <n v="2669"/>
    <n v="254"/>
    <x v="36"/>
    <x v="0"/>
  </r>
  <r>
    <n v="747"/>
    <n v="147"/>
    <x v="37"/>
    <x v="0"/>
  </r>
  <r>
    <n v="431"/>
    <n v="101"/>
    <x v="38"/>
    <x v="0"/>
  </r>
  <r>
    <n v="228"/>
    <n v="215"/>
    <x v="39"/>
    <x v="1"/>
  </r>
  <r>
    <n v="2025"/>
    <n v="166"/>
    <x v="40"/>
    <x v="0"/>
  </r>
  <r>
    <n v="177"/>
    <n v="171"/>
    <x v="41"/>
    <x v="1"/>
  </r>
  <r>
    <n v="2936"/>
    <n v="207"/>
    <x v="42"/>
    <x v="0"/>
  </r>
  <r>
    <n v="2069"/>
    <n v="179"/>
    <x v="43"/>
    <x v="0"/>
  </r>
  <r>
    <n v="251"/>
    <n v="85"/>
    <x v="44"/>
    <x v="2"/>
  </r>
  <r>
    <n v="1751"/>
    <n v="161"/>
    <x v="45"/>
    <x v="0"/>
  </r>
  <r>
    <n v="897"/>
    <n v="106"/>
    <x v="46"/>
    <x v="0"/>
  </r>
  <r>
    <n v="2399"/>
    <n v="232"/>
    <x v="47"/>
    <x v="0"/>
  </r>
  <r>
    <n v="2272"/>
    <n v="198"/>
    <x v="48"/>
    <x v="0"/>
  </r>
  <r>
    <n v="669"/>
    <n v="97"/>
    <x v="49"/>
    <x v="0"/>
  </r>
  <r>
    <n v="1998"/>
    <n v="164"/>
    <x v="50"/>
    <x v="0"/>
  </r>
  <r>
    <n v="1004"/>
    <n v="107"/>
    <x v="51"/>
    <x v="0"/>
  </r>
  <r>
    <n v="2164"/>
    <n v="226"/>
    <x v="52"/>
    <x v="0"/>
  </r>
  <r>
    <n v="1826"/>
    <n v="212"/>
    <x v="53"/>
    <x v="0"/>
  </r>
  <r>
    <n v="2627"/>
    <n v="202"/>
    <x v="54"/>
    <x v="0"/>
  </r>
  <r>
    <n v="1989"/>
    <n v="237"/>
    <x v="55"/>
    <x v="0"/>
  </r>
  <r>
    <n v="73"/>
    <n v="55"/>
    <x v="56"/>
    <x v="1"/>
  </r>
  <r>
    <n v="1362"/>
    <n v="132"/>
    <x v="57"/>
    <x v="0"/>
  </r>
  <r>
    <n v="2108"/>
    <n v="238"/>
    <x v="58"/>
    <x v="0"/>
  </r>
  <r>
    <n v="2107"/>
    <n v="184"/>
    <x v="59"/>
    <x v="0"/>
  </r>
  <r>
    <n v="535"/>
    <n v="81"/>
    <x v="60"/>
    <x v="0"/>
  </r>
  <r>
    <n v="2613"/>
    <n v="242"/>
    <x v="61"/>
    <x v="0"/>
  </r>
  <r>
    <n v="2393"/>
    <n v="207"/>
    <x v="62"/>
    <x v="0"/>
  </r>
  <r>
    <n v="1027"/>
    <n v="14"/>
    <x v="63"/>
    <x v="0"/>
  </r>
  <r>
    <n v="1311"/>
    <n v="16"/>
    <x v="64"/>
    <x v="0"/>
  </r>
  <r>
    <n v="69"/>
    <n v="113"/>
    <x v="65"/>
    <x v="3"/>
  </r>
  <r>
    <n v="315"/>
    <n v="11"/>
    <x v="66"/>
    <x v="0"/>
  </r>
  <r>
    <n v="1393"/>
    <n v="134"/>
    <x v="67"/>
    <x v="0"/>
  </r>
  <r>
    <n v="2374"/>
    <n v="189"/>
    <x v="68"/>
    <x v="0"/>
  </r>
  <r>
    <n v="2168"/>
    <n v="223"/>
    <x v="69"/>
    <x v="0"/>
  </r>
  <r>
    <n v="1991"/>
    <n v="183"/>
    <x v="70"/>
    <x v="0"/>
  </r>
  <r>
    <n v="1098"/>
    <n v="124"/>
    <x v="71"/>
    <x v="0"/>
  </r>
  <r>
    <n v="268"/>
    <n v="88"/>
    <x v="72"/>
    <x v="2"/>
  </r>
  <r>
    <n v="1294"/>
    <n v="11"/>
    <x v="73"/>
    <x v="0"/>
  </r>
  <r>
    <n v="2134"/>
    <n v="17"/>
    <x v="74"/>
    <x v="0"/>
  </r>
  <r>
    <n v="169"/>
    <n v="87"/>
    <x v="75"/>
    <x v="1"/>
  </r>
  <r>
    <n v="275"/>
    <n v="69"/>
    <x v="76"/>
    <x v="2"/>
  </r>
  <r>
    <n v="1205"/>
    <n v="142"/>
    <x v="77"/>
    <x v="0"/>
  </r>
  <r>
    <n v="54"/>
    <n v="53"/>
    <x v="78"/>
    <x v="1"/>
  </r>
  <r>
    <n v="116"/>
    <n v="11"/>
    <x v="79"/>
    <x v="0"/>
  </r>
  <r>
    <n v="764"/>
    <n v="118"/>
    <x v="80"/>
    <x v="0"/>
  </r>
  <r>
    <n v="2398"/>
    <n v="173"/>
    <x v="81"/>
    <x v="0"/>
  </r>
  <r>
    <n v="753"/>
    <n v="113"/>
    <x v="82"/>
    <x v="0"/>
  </r>
  <r>
    <n v="684"/>
    <n v="136"/>
    <x v="83"/>
    <x v="0"/>
  </r>
  <r>
    <n v="2135"/>
    <n v="217"/>
    <x v="84"/>
    <x v="0"/>
  </r>
  <r>
    <n v="1932"/>
    <n v="202"/>
    <x v="85"/>
    <x v="0"/>
  </r>
  <r>
    <n v="763"/>
    <n v="12"/>
    <x v="86"/>
    <x v="0"/>
  </r>
  <r>
    <n v="1107"/>
    <n v="16"/>
    <x v="87"/>
    <x v="0"/>
  </r>
  <r>
    <n v="883"/>
    <n v="129"/>
    <x v="88"/>
    <x v="0"/>
  </r>
  <r>
    <n v="1098"/>
    <n v="167"/>
    <x v="89"/>
    <x v="0"/>
  </r>
  <r>
    <n v="1343"/>
    <n v="14"/>
    <x v="90"/>
    <x v="0"/>
  </r>
  <r>
    <n v="286"/>
    <n v="73"/>
    <x v="91"/>
    <x v="2"/>
  </r>
  <r>
    <n v="2177"/>
    <n v="194"/>
    <x v="92"/>
    <x v="0"/>
  </r>
  <r>
    <n v="2509"/>
    <n v="222"/>
    <x v="93"/>
    <x v="0"/>
  </r>
  <r>
    <n v="1074"/>
    <n v="115"/>
    <x v="94"/>
    <x v="0"/>
  </r>
  <r>
    <n v="1633"/>
    <n v="169"/>
    <x v="95"/>
    <x v="0"/>
  </r>
  <r>
    <n v="1976"/>
    <n v="167"/>
    <x v="96"/>
    <x v="0"/>
  </r>
  <r>
    <n v="1849"/>
    <n v="205"/>
    <x v="97"/>
    <x v="0"/>
  </r>
  <r>
    <n v="2897"/>
    <n v="254"/>
    <x v="98"/>
    <x v="0"/>
  </r>
  <r>
    <n v="1352"/>
    <n v="172"/>
    <x v="99"/>
    <x v="0"/>
  </r>
  <r>
    <n v="2224"/>
    <n v="167"/>
    <x v="100"/>
    <x v="0"/>
  </r>
  <r>
    <n v="2964"/>
    <n v="238"/>
    <x v="101"/>
    <x v="0"/>
  </r>
  <r>
    <n v="2802"/>
    <n v="198"/>
    <x v="102"/>
    <x v="0"/>
  </r>
  <r>
    <n v="1879"/>
    <n v="197"/>
    <x v="103"/>
    <x v="0"/>
  </r>
  <r>
    <n v="2382"/>
    <n v="207"/>
    <x v="104"/>
    <x v="0"/>
  </r>
  <r>
    <n v="1379"/>
    <n v="15"/>
    <x v="105"/>
    <x v="0"/>
  </r>
  <r>
    <n v="25"/>
    <n v="72"/>
    <x v="106"/>
    <x v="3"/>
  </r>
  <r>
    <n v="904"/>
    <n v="12"/>
    <x v="107"/>
    <x v="0"/>
  </r>
  <r>
    <n v="131"/>
    <n v="53"/>
    <x v="108"/>
    <x v="2"/>
  </r>
  <r>
    <n v="2554"/>
    <n v="198"/>
    <x v="109"/>
    <x v="0"/>
  </r>
  <r>
    <n v="2258"/>
    <n v="184"/>
    <x v="110"/>
    <x v="0"/>
  </r>
  <r>
    <n v="2417"/>
    <n v="218"/>
    <x v="111"/>
    <x v="0"/>
  </r>
  <r>
    <n v="1757"/>
    <n v="171"/>
    <x v="112"/>
    <x v="0"/>
  </r>
  <r>
    <n v="2096"/>
    <n v="209"/>
    <x v="113"/>
    <x v="0"/>
  </r>
  <r>
    <n v="782"/>
    <n v="146"/>
    <x v="114"/>
    <x v="0"/>
  </r>
  <r>
    <n v="751"/>
    <n v="126"/>
    <x v="115"/>
    <x v="0"/>
  </r>
  <r>
    <n v="1392"/>
    <n v="122"/>
    <x v="116"/>
    <x v="0"/>
  </r>
  <r>
    <n v="764"/>
    <n v="94"/>
    <x v="117"/>
    <x v="0"/>
  </r>
  <r>
    <n v="1257"/>
    <n v="159"/>
    <x v="118"/>
    <x v="0"/>
  </r>
  <r>
    <n v="194"/>
    <n v="66"/>
    <x v="119"/>
    <x v="2"/>
  </r>
  <r>
    <n v="1413"/>
    <n v="155"/>
    <x v="120"/>
    <x v="0"/>
  </r>
  <r>
    <n v="188"/>
    <n v="7"/>
    <x v="121"/>
    <x v="0"/>
  </r>
  <r>
    <n v="224"/>
    <n v="166"/>
    <x v="122"/>
    <x v="1"/>
  </r>
  <r>
    <n v="1231"/>
    <n v="152"/>
    <x v="123"/>
    <x v="0"/>
  </r>
  <r>
    <n v="2295"/>
    <n v="197"/>
    <x v="124"/>
    <x v="0"/>
  </r>
  <r>
    <n v="872"/>
    <n v="106"/>
    <x v="125"/>
    <x v="0"/>
  </r>
  <r>
    <n v="78"/>
    <n v="66"/>
    <x v="126"/>
    <x v="1"/>
  </r>
  <r>
    <n v="802"/>
    <n v="119"/>
    <x v="127"/>
    <x v="0"/>
  </r>
  <r>
    <n v="2203"/>
    <n v="247"/>
    <x v="128"/>
    <x v="0"/>
  </r>
  <r>
    <n v="596"/>
    <n v="97"/>
    <x v="129"/>
    <x v="0"/>
  </r>
  <r>
    <n v="7"/>
    <n v="16"/>
    <x v="130"/>
    <x v="3"/>
  </r>
  <r>
    <n v="2652"/>
    <n v="177"/>
    <x v="131"/>
    <x v="0"/>
  </r>
  <r>
    <n v="84"/>
    <n v="57"/>
    <x v="132"/>
    <x v="1"/>
  </r>
  <r>
    <n v="2198"/>
    <n v="196"/>
    <x v="133"/>
    <x v="0"/>
  </r>
  <r>
    <n v="369"/>
    <n v="108"/>
    <x v="134"/>
    <x v="2"/>
  </r>
  <r>
    <n v="483"/>
    <n v="116"/>
    <x v="135"/>
    <x v="0"/>
  </r>
  <r>
    <n v="256"/>
    <n v="95"/>
    <x v="136"/>
    <x v="2"/>
  </r>
  <r>
    <n v="2737"/>
    <n v="208"/>
    <x v="137"/>
    <x v="0"/>
  </r>
  <r>
    <n v="43"/>
    <n v="96"/>
    <x v="138"/>
    <x v="3"/>
  </r>
  <r>
    <n v="1849"/>
    <n v="207"/>
    <x v="139"/>
    <x v="0"/>
  </r>
  <r>
    <n v="734"/>
    <n v="109"/>
    <x v="140"/>
    <x v="0"/>
  </r>
  <r>
    <n v="1937"/>
    <n v="192"/>
    <x v="141"/>
    <x v="0"/>
  </r>
  <r>
    <n v="2205"/>
    <n v="201"/>
    <x v="142"/>
    <x v="0"/>
  </r>
  <r>
    <n v="1046"/>
    <n v="104"/>
    <x v="143"/>
    <x v="0"/>
  </r>
  <r>
    <n v="962"/>
    <n v="123"/>
    <x v="144"/>
    <x v="0"/>
  </r>
  <r>
    <n v="1403"/>
    <n v="103"/>
    <x v="145"/>
    <x v="0"/>
  </r>
  <r>
    <n v="2401"/>
    <n v="182"/>
    <x v="146"/>
    <x v="0"/>
  </r>
  <r>
    <n v="2432"/>
    <n v="254"/>
    <x v="147"/>
    <x v="0"/>
  </r>
  <r>
    <n v="38"/>
    <n v="109"/>
    <x v="148"/>
    <x v="3"/>
  </r>
  <r>
    <n v="447"/>
    <n v="101"/>
    <x v="149"/>
    <x v="0"/>
  </r>
  <r>
    <n v="2807"/>
    <n v="161"/>
    <x v="150"/>
    <x v="0"/>
  </r>
  <r>
    <n v="121"/>
    <n v="116"/>
    <x v="151"/>
    <x v="1"/>
  </r>
  <r>
    <n v="1976"/>
    <n v="166"/>
    <x v="152"/>
    <x v="0"/>
  </r>
  <r>
    <n v="1713"/>
    <n v="16"/>
    <x v="153"/>
    <x v="0"/>
  </r>
  <r>
    <n v="1878"/>
    <n v="206"/>
    <x v="154"/>
    <x v="0"/>
  </r>
  <r>
    <n v="41"/>
    <n v="32"/>
    <x v="155"/>
    <x v="1"/>
  </r>
  <r>
    <n v="939"/>
    <n v="153"/>
    <x v="156"/>
    <x v="0"/>
  </r>
  <r>
    <n v="1498"/>
    <n v="101"/>
    <x v="157"/>
    <x v="0"/>
  </r>
  <r>
    <n v="117"/>
    <n v="73"/>
    <x v="158"/>
    <x v="1"/>
  </r>
  <r>
    <n v="1317"/>
    <n v="129"/>
    <x v="159"/>
    <x v="0"/>
  </r>
  <r>
    <n v="1725"/>
    <n v="164"/>
    <x v="160"/>
    <x v="0"/>
  </r>
  <r>
    <n v="857"/>
    <n v="133"/>
    <x v="161"/>
    <x v="0"/>
  </r>
  <r>
    <n v="1884"/>
    <n v="199"/>
    <x v="162"/>
    <x v="0"/>
  </r>
  <r>
    <n v="1635"/>
    <n v="18"/>
    <x v="163"/>
    <x v="0"/>
  </r>
  <r>
    <n v="1172"/>
    <n v="119"/>
    <x v="164"/>
    <x v="0"/>
  </r>
  <r>
    <n v="2345"/>
    <n v="169"/>
    <x v="165"/>
    <x v="0"/>
  </r>
  <r>
    <n v="179"/>
    <n v="8"/>
    <x v="166"/>
    <x v="0"/>
  </r>
  <r>
    <n v="2068"/>
    <n v="172"/>
    <x v="167"/>
    <x v="0"/>
  </r>
  <r>
    <n v="2154"/>
    <n v="171"/>
    <x v="168"/>
    <x v="0"/>
  </r>
  <r>
    <n v="2843"/>
    <n v="20"/>
    <x v="169"/>
    <x v="0"/>
  </r>
  <r>
    <n v="50"/>
    <n v="84"/>
    <x v="170"/>
    <x v="3"/>
  </r>
  <r>
    <n v="1645"/>
    <n v="175"/>
    <x v="171"/>
    <x v="0"/>
  </r>
  <r>
    <n v="196"/>
    <n v="76"/>
    <x v="172"/>
    <x v="2"/>
  </r>
  <r>
    <n v="1684"/>
    <n v="167"/>
    <x v="173"/>
    <x v="0"/>
  </r>
  <r>
    <n v="2224"/>
    <n v="165"/>
    <x v="174"/>
    <x v="0"/>
  </r>
  <r>
    <n v="2769"/>
    <n v="27"/>
    <x v="175"/>
    <x v="0"/>
  </r>
  <r>
    <n v="2484"/>
    <n v="202"/>
    <x v="176"/>
    <x v="0"/>
  </r>
  <r>
    <n v="1702"/>
    <n v="167"/>
    <x v="177"/>
    <x v="0"/>
  </r>
  <r>
    <n v="2767"/>
    <n v="168"/>
    <x v="178"/>
    <x v="0"/>
  </r>
  <r>
    <n v="1656"/>
    <n v="176"/>
    <x v="179"/>
    <x v="0"/>
  </r>
  <r>
    <n v="1566"/>
    <n v="155"/>
    <x v="180"/>
    <x v="0"/>
  </r>
  <r>
    <n v="2185"/>
    <n v="172"/>
    <x v="181"/>
    <x v="0"/>
  </r>
  <r>
    <n v="562"/>
    <n v="87"/>
    <x v="182"/>
    <x v="0"/>
  </r>
  <r>
    <n v="2876"/>
    <n v="262"/>
    <x v="183"/>
    <x v="0"/>
  </r>
  <r>
    <n v="2538"/>
    <n v="176"/>
    <x v="184"/>
    <x v="0"/>
  </r>
  <r>
    <n v="205"/>
    <n v="226"/>
    <x v="185"/>
    <x v="3"/>
  </r>
  <r>
    <n v="1395"/>
    <n v="103"/>
    <x v="186"/>
    <x v="0"/>
  </r>
  <r>
    <n v="1911"/>
    <n v="173"/>
    <x v="187"/>
    <x v="0"/>
  </r>
  <r>
    <n v="286"/>
    <n v="209"/>
    <x v="188"/>
    <x v="1"/>
  </r>
  <r>
    <n v="187"/>
    <n v="67"/>
    <x v="189"/>
    <x v="2"/>
  </r>
  <r>
    <n v="395"/>
    <n v="108"/>
    <x v="190"/>
    <x v="2"/>
  </r>
  <r>
    <n v="755"/>
    <n v="119"/>
    <x v="191"/>
    <x v="0"/>
  </r>
  <r>
    <n v="172"/>
    <n v="59"/>
    <x v="192"/>
    <x v="2"/>
  </r>
  <r>
    <n v="1668"/>
    <n v="196"/>
    <x v="193"/>
    <x v="0"/>
  </r>
  <r>
    <n v="1497"/>
    <n v="173"/>
    <x v="194"/>
    <x v="0"/>
  </r>
  <r>
    <n v="382"/>
    <n v="76"/>
    <x v="195"/>
    <x v="0"/>
  </r>
  <r>
    <n v="942"/>
    <n v="14"/>
    <x v="196"/>
    <x v="0"/>
  </r>
  <r>
    <n v="177"/>
    <n v="148"/>
    <x v="197"/>
    <x v="1"/>
  </r>
  <r>
    <n v="2836"/>
    <n v="255"/>
    <x v="198"/>
    <x v="0"/>
  </r>
  <r>
    <n v="2321"/>
    <n v="184"/>
    <x v="19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00F88F-947A-4239-8ACA-4A752834AA8F}" name="Tabela dinâ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/>
  <pivotFields count="4">
    <pivotField numFmtId="165" showAll="0"/>
    <pivotField numFmtId="165" showAll="0"/>
    <pivotField dataField="1" numFmtId="9" showAll="0">
      <items count="201">
        <item x="25"/>
        <item x="169"/>
        <item x="74"/>
        <item x="20"/>
        <item x="73"/>
        <item x="14"/>
        <item x="153"/>
        <item x="175"/>
        <item x="90"/>
        <item x="26"/>
        <item x="105"/>
        <item x="163"/>
        <item x="64"/>
        <item x="107"/>
        <item x="63"/>
        <item x="87"/>
        <item x="196"/>
        <item x="86"/>
        <item x="66"/>
        <item x="121"/>
        <item x="166"/>
        <item x="150"/>
        <item x="178"/>
        <item x="35"/>
        <item x="33"/>
        <item x="131"/>
        <item x="157"/>
        <item x="184"/>
        <item x="2"/>
        <item x="42"/>
        <item x="102"/>
        <item x="165"/>
        <item x="81"/>
        <item x="30"/>
        <item x="145"/>
        <item x="21"/>
        <item x="186"/>
        <item x="174"/>
        <item x="100"/>
        <item x="146"/>
        <item x="28"/>
        <item x="137"/>
        <item x="54"/>
        <item x="109"/>
        <item x="9"/>
        <item x="181"/>
        <item x="199"/>
        <item x="168"/>
        <item x="68"/>
        <item x="101"/>
        <item x="11"/>
        <item x="176"/>
        <item x="110"/>
        <item x="40"/>
        <item x="50"/>
        <item x="167"/>
        <item x="152"/>
        <item x="96"/>
        <item x="124"/>
        <item x="62"/>
        <item x="43"/>
        <item x="17"/>
        <item x="104"/>
        <item x="27"/>
        <item x="48"/>
        <item x="59"/>
        <item x="116"/>
        <item x="98"/>
        <item x="93"/>
        <item x="92"/>
        <item x="133"/>
        <item x="23"/>
        <item x="198"/>
        <item x="111"/>
        <item x="187"/>
        <item x="183"/>
        <item x="142"/>
        <item x="70"/>
        <item x="45"/>
        <item x="61"/>
        <item x="79"/>
        <item x="160"/>
        <item x="36"/>
        <item x="0"/>
        <item x="67"/>
        <item x="47"/>
        <item x="57"/>
        <item x="112"/>
        <item x="159"/>
        <item x="177"/>
        <item x="180"/>
        <item x="4"/>
        <item x="19"/>
        <item x="141"/>
        <item x="173"/>
        <item x="143"/>
        <item x="113"/>
        <item x="164"/>
        <item x="84"/>
        <item x="69"/>
        <item x="95"/>
        <item x="52"/>
        <item x="147"/>
        <item x="85"/>
        <item x="103"/>
        <item x="31"/>
        <item x="162"/>
        <item x="179"/>
        <item x="171"/>
        <item x="51"/>
        <item x="94"/>
        <item x="3"/>
        <item x="154"/>
        <item x="120"/>
        <item x="7"/>
        <item x="97"/>
        <item x="139"/>
        <item x="128"/>
        <item x="58"/>
        <item x="71"/>
        <item x="15"/>
        <item x="194"/>
        <item x="53"/>
        <item x="193"/>
        <item x="77"/>
        <item x="46"/>
        <item x="55"/>
        <item x="125"/>
        <item x="117"/>
        <item x="123"/>
        <item x="34"/>
        <item x="118"/>
        <item x="99"/>
        <item x="144"/>
        <item x="32"/>
        <item x="13"/>
        <item x="49"/>
        <item x="88"/>
        <item x="127"/>
        <item x="140"/>
        <item x="29"/>
        <item x="82"/>
        <item x="60"/>
        <item x="89"/>
        <item x="80"/>
        <item x="182"/>
        <item x="161"/>
        <item x="24"/>
        <item x="191"/>
        <item x="129"/>
        <item x="156"/>
        <item x="18"/>
        <item x="115"/>
        <item x="16"/>
        <item x="114"/>
        <item x="10"/>
        <item x="37"/>
        <item x="83"/>
        <item x="195"/>
        <item x="6"/>
        <item x="149"/>
        <item x="1"/>
        <item x="38"/>
        <item x="135"/>
        <item x="76"/>
        <item x="91"/>
        <item x="190"/>
        <item x="134"/>
        <item x="72"/>
        <item x="44"/>
        <item x="119"/>
        <item x="192"/>
        <item x="189"/>
        <item x="136"/>
        <item x="12"/>
        <item x="172"/>
        <item x="108"/>
        <item x="22"/>
        <item x="75"/>
        <item x="8"/>
        <item x="158"/>
        <item x="132"/>
        <item x="188"/>
        <item x="122"/>
        <item x="56"/>
        <item x="155"/>
        <item x="5"/>
        <item x="197"/>
        <item x="126"/>
        <item x="39"/>
        <item x="151"/>
        <item x="41"/>
        <item x="78"/>
        <item x="185"/>
        <item x="65"/>
        <item x="170"/>
        <item x="138"/>
        <item x="130"/>
        <item x="148"/>
        <item x="106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édia de Taxa de conversão" fld="2" subtotal="average" baseField="3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BA16E-6094-45D0-8ED6-D29E916330E8}">
  <dimension ref="A3:B8"/>
  <sheetViews>
    <sheetView workbookViewId="0">
      <selection activeCell="A3" sqref="A3"/>
    </sheetView>
  </sheetViews>
  <sheetFormatPr defaultRowHeight="14.4" x14ac:dyDescent="0.3"/>
  <cols>
    <col min="1" max="1" width="17.21875" bestFit="1" customWidth="1"/>
    <col min="2" max="2" width="25.21875" bestFit="1" customWidth="1"/>
  </cols>
  <sheetData>
    <row r="3" spans="1:2" x14ac:dyDescent="0.3">
      <c r="A3" s="6" t="s">
        <v>8</v>
      </c>
      <c r="B3" t="s">
        <v>10</v>
      </c>
    </row>
    <row r="4" spans="1:2" x14ac:dyDescent="0.3">
      <c r="A4" s="7" t="s">
        <v>5</v>
      </c>
      <c r="B4" s="5">
        <v>0.78268867814508702</v>
      </c>
    </row>
    <row r="5" spans="1:2" x14ac:dyDescent="0.3">
      <c r="A5" s="7" t="s">
        <v>3</v>
      </c>
      <c r="B5" s="5">
        <v>9.7818200954971443E-2</v>
      </c>
    </row>
    <row r="6" spans="1:2" x14ac:dyDescent="0.3">
      <c r="A6" s="7" t="s">
        <v>4</v>
      </c>
      <c r="B6" s="5">
        <v>0.33964302743015679</v>
      </c>
    </row>
    <row r="7" spans="1:2" x14ac:dyDescent="0.3">
      <c r="A7" s="7" t="s">
        <v>6</v>
      </c>
      <c r="B7" s="5">
        <v>2.0981162373844691</v>
      </c>
    </row>
    <row r="8" spans="1:2" x14ac:dyDescent="0.3">
      <c r="A8" s="7" t="s">
        <v>9</v>
      </c>
      <c r="B8" s="5">
        <v>0.23612165587252548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zoomScaleNormal="100" workbookViewId="0">
      <selection activeCell="G9" sqref="G9"/>
    </sheetView>
  </sheetViews>
  <sheetFormatPr defaultColWidth="8.88671875" defaultRowHeight="14.4" x14ac:dyDescent="0.3"/>
  <cols>
    <col min="1" max="1" width="12.88671875" style="1" bestFit="1" customWidth="1"/>
    <col min="2" max="2" width="8.88671875" style="1"/>
    <col min="3" max="3" width="19.21875" customWidth="1"/>
    <col min="7" max="7" width="22.77734375" bestFit="1" customWidth="1"/>
  </cols>
  <sheetData>
    <row r="1" spans="1:8" x14ac:dyDescent="0.3">
      <c r="A1" s="1" t="s">
        <v>0</v>
      </c>
      <c r="B1" s="1" t="s">
        <v>1</v>
      </c>
      <c r="C1" t="s">
        <v>2</v>
      </c>
      <c r="D1" t="s">
        <v>7</v>
      </c>
    </row>
    <row r="2" spans="1:8" x14ac:dyDescent="0.3">
      <c r="A2" s="1">
        <v>2301</v>
      </c>
      <c r="B2" s="1">
        <v>221</v>
      </c>
      <c r="C2" s="4">
        <f>B2/A2</f>
        <v>9.6045197740112997E-2</v>
      </c>
      <c r="D2" t="str">
        <f>VLOOKUP(C2,$F$2:$H$5,3,TRUE)</f>
        <v>BAIXO</v>
      </c>
      <c r="F2" s="5">
        <v>0</v>
      </c>
      <c r="G2" s="5">
        <v>0.25</v>
      </c>
      <c r="H2" t="s">
        <v>3</v>
      </c>
    </row>
    <row r="3" spans="1:8" x14ac:dyDescent="0.3">
      <c r="A3" s="1">
        <v>445</v>
      </c>
      <c r="B3" s="1">
        <v>104</v>
      </c>
      <c r="C3" s="4">
        <f t="shared" ref="C3:C66" si="0">B3/A3</f>
        <v>0.23370786516853934</v>
      </c>
      <c r="D3" t="str">
        <f t="shared" ref="D3:D66" si="1">VLOOKUP(C3,$F$2:$H$5,3,TRUE)</f>
        <v>BAIXO</v>
      </c>
      <c r="F3" s="5">
        <v>0.25</v>
      </c>
      <c r="G3" s="5">
        <v>0.5</v>
      </c>
      <c r="H3" t="s">
        <v>4</v>
      </c>
    </row>
    <row r="4" spans="1:8" x14ac:dyDescent="0.3">
      <c r="A4" s="1">
        <v>172</v>
      </c>
      <c r="B4" s="1">
        <v>12</v>
      </c>
      <c r="C4" s="4">
        <f t="shared" si="0"/>
        <v>6.9767441860465115E-2</v>
      </c>
      <c r="D4" t="str">
        <f t="shared" si="1"/>
        <v>BAIXO</v>
      </c>
      <c r="E4" s="2"/>
      <c r="F4" s="5">
        <v>0.51</v>
      </c>
      <c r="G4" s="5">
        <v>1</v>
      </c>
      <c r="H4" t="s">
        <v>5</v>
      </c>
    </row>
    <row r="5" spans="1:8" x14ac:dyDescent="0.3">
      <c r="A5" s="1">
        <v>1515</v>
      </c>
      <c r="B5" s="1">
        <v>165</v>
      </c>
      <c r="C5" s="4">
        <f t="shared" si="0"/>
        <v>0.10891089108910891</v>
      </c>
      <c r="D5" t="str">
        <f t="shared" si="1"/>
        <v>BAIXO</v>
      </c>
      <c r="F5" s="5">
        <v>1.01</v>
      </c>
      <c r="G5" s="5">
        <v>9999999.9900000002</v>
      </c>
      <c r="H5" t="s">
        <v>6</v>
      </c>
    </row>
    <row r="6" spans="1:8" x14ac:dyDescent="0.3">
      <c r="A6" s="1">
        <v>1808</v>
      </c>
      <c r="B6" s="1">
        <v>179</v>
      </c>
      <c r="C6" s="4">
        <f t="shared" si="0"/>
        <v>9.9004424778761063E-2</v>
      </c>
      <c r="D6" t="str">
        <f t="shared" si="1"/>
        <v>BAIXO</v>
      </c>
      <c r="E6" s="3"/>
    </row>
    <row r="7" spans="1:8" x14ac:dyDescent="0.3">
      <c r="A7" s="1">
        <v>87</v>
      </c>
      <c r="B7" s="1">
        <v>72</v>
      </c>
      <c r="C7" s="4">
        <f t="shared" si="0"/>
        <v>0.82758620689655171</v>
      </c>
      <c r="D7" t="str">
        <f t="shared" si="1"/>
        <v>ALTO</v>
      </c>
    </row>
    <row r="8" spans="1:8" x14ac:dyDescent="0.3">
      <c r="A8" s="1">
        <v>575</v>
      </c>
      <c r="B8" s="1">
        <v>118</v>
      </c>
      <c r="C8" s="4">
        <f t="shared" si="0"/>
        <v>0.20521739130434782</v>
      </c>
      <c r="D8" t="str">
        <f t="shared" si="1"/>
        <v>BAIXO</v>
      </c>
      <c r="F8" t="s">
        <v>11</v>
      </c>
    </row>
    <row r="9" spans="1:8" x14ac:dyDescent="0.3">
      <c r="A9" s="1">
        <v>1202</v>
      </c>
      <c r="B9" s="1">
        <v>132</v>
      </c>
      <c r="C9" s="4">
        <f t="shared" si="0"/>
        <v>0.10981697171381032</v>
      </c>
      <c r="D9" t="str">
        <f t="shared" si="1"/>
        <v>BAIXO</v>
      </c>
      <c r="F9">
        <v>150</v>
      </c>
      <c r="G9">
        <f>FORECAST(F9,B:B,A:A)</f>
        <v>78.088353283946162</v>
      </c>
    </row>
    <row r="10" spans="1:8" x14ac:dyDescent="0.3">
      <c r="A10" s="1">
        <v>86</v>
      </c>
      <c r="B10" s="1">
        <v>48</v>
      </c>
      <c r="C10" s="4">
        <f t="shared" si="0"/>
        <v>0.55813953488372092</v>
      </c>
      <c r="D10" t="str">
        <f t="shared" si="1"/>
        <v>ALTO</v>
      </c>
    </row>
    <row r="11" spans="1:8" x14ac:dyDescent="0.3">
      <c r="A11" s="1">
        <v>1998</v>
      </c>
      <c r="B11" s="1">
        <v>156</v>
      </c>
      <c r="C11" s="4">
        <f t="shared" si="0"/>
        <v>7.8078078078078081E-2</v>
      </c>
      <c r="D11" t="str">
        <f t="shared" si="1"/>
        <v>BAIXO</v>
      </c>
    </row>
    <row r="12" spans="1:8" x14ac:dyDescent="0.3">
      <c r="A12" s="1">
        <v>661</v>
      </c>
      <c r="B12" s="1">
        <v>126</v>
      </c>
      <c r="C12" s="4">
        <f t="shared" si="0"/>
        <v>0.19062027231467474</v>
      </c>
      <c r="D12" t="str">
        <f t="shared" si="1"/>
        <v>BAIXO</v>
      </c>
    </row>
    <row r="13" spans="1:8" x14ac:dyDescent="0.3">
      <c r="A13" s="1">
        <v>2147</v>
      </c>
      <c r="B13" s="1">
        <v>174</v>
      </c>
      <c r="C13" s="4">
        <f t="shared" si="0"/>
        <v>8.1043316255239875E-2</v>
      </c>
      <c r="D13" t="str">
        <f t="shared" si="1"/>
        <v>BAIXO</v>
      </c>
    </row>
    <row r="14" spans="1:8" x14ac:dyDescent="0.3">
      <c r="A14" s="1">
        <v>238</v>
      </c>
      <c r="B14" s="1">
        <v>92</v>
      </c>
      <c r="C14" s="4">
        <f t="shared" si="0"/>
        <v>0.38655462184873951</v>
      </c>
      <c r="D14" t="str">
        <f t="shared" si="1"/>
        <v>MEDIO</v>
      </c>
    </row>
    <row r="15" spans="1:8" x14ac:dyDescent="0.3">
      <c r="A15" s="1">
        <v>975</v>
      </c>
      <c r="B15" s="1">
        <v>137</v>
      </c>
      <c r="C15" s="4">
        <f t="shared" si="0"/>
        <v>0.14051282051282052</v>
      </c>
      <c r="D15" t="str">
        <f t="shared" si="1"/>
        <v>BAIXO</v>
      </c>
    </row>
    <row r="16" spans="1:8" x14ac:dyDescent="0.3">
      <c r="A16" s="1">
        <v>2041</v>
      </c>
      <c r="B16" s="1">
        <v>19</v>
      </c>
      <c r="C16" s="4">
        <f t="shared" si="0"/>
        <v>9.309162175404213E-3</v>
      </c>
      <c r="D16" t="str">
        <f t="shared" si="1"/>
        <v>BAIXO</v>
      </c>
    </row>
    <row r="17" spans="1:4" x14ac:dyDescent="0.3">
      <c r="A17" s="1">
        <v>1954</v>
      </c>
      <c r="B17" s="1">
        <v>224</v>
      </c>
      <c r="C17" s="4">
        <f t="shared" si="0"/>
        <v>0.11463664278403275</v>
      </c>
      <c r="D17" t="str">
        <f t="shared" si="1"/>
        <v>BAIXO</v>
      </c>
    </row>
    <row r="18" spans="1:4" x14ac:dyDescent="0.3">
      <c r="A18" s="1">
        <v>678</v>
      </c>
      <c r="B18" s="1">
        <v>125</v>
      </c>
      <c r="C18" s="4">
        <f t="shared" si="0"/>
        <v>0.18436578171091444</v>
      </c>
      <c r="D18" t="str">
        <f t="shared" si="1"/>
        <v>BAIXO</v>
      </c>
    </row>
    <row r="19" spans="1:4" x14ac:dyDescent="0.3">
      <c r="A19" s="1">
        <v>2814</v>
      </c>
      <c r="B19" s="1">
        <v>244</v>
      </c>
      <c r="C19" s="4">
        <f t="shared" si="0"/>
        <v>8.6709310589907607E-2</v>
      </c>
      <c r="D19" t="str">
        <f t="shared" si="1"/>
        <v>BAIXO</v>
      </c>
    </row>
    <row r="20" spans="1:4" x14ac:dyDescent="0.3">
      <c r="A20" s="1">
        <v>692</v>
      </c>
      <c r="B20" s="1">
        <v>113</v>
      </c>
      <c r="C20" s="4">
        <f t="shared" si="0"/>
        <v>0.16329479768786126</v>
      </c>
      <c r="D20" t="str">
        <f t="shared" si="1"/>
        <v>BAIXO</v>
      </c>
    </row>
    <row r="21" spans="1:4" x14ac:dyDescent="0.3">
      <c r="A21" s="1">
        <v>1473</v>
      </c>
      <c r="B21" s="1">
        <v>146</v>
      </c>
      <c r="C21" s="4">
        <f t="shared" si="0"/>
        <v>9.9117447386286486E-2</v>
      </c>
      <c r="D21" t="str">
        <f t="shared" si="1"/>
        <v>BAIXO</v>
      </c>
    </row>
    <row r="22" spans="1:4" x14ac:dyDescent="0.3">
      <c r="A22" s="1">
        <v>2184</v>
      </c>
      <c r="B22" s="1">
        <v>18</v>
      </c>
      <c r="C22" s="4">
        <f t="shared" si="0"/>
        <v>8.241758241758242E-3</v>
      </c>
      <c r="D22" t="str">
        <f t="shared" si="1"/>
        <v>BAIXO</v>
      </c>
    </row>
    <row r="23" spans="1:4" x14ac:dyDescent="0.3">
      <c r="A23" s="1">
        <v>2374</v>
      </c>
      <c r="B23" s="1">
        <v>175</v>
      </c>
      <c r="C23" s="4">
        <f t="shared" si="0"/>
        <v>7.3715248525695026E-2</v>
      </c>
      <c r="D23" t="str">
        <f t="shared" si="1"/>
        <v>BAIXO</v>
      </c>
    </row>
    <row r="24" spans="1:4" x14ac:dyDescent="0.3">
      <c r="A24" s="1">
        <v>132</v>
      </c>
      <c r="B24" s="1">
        <v>56</v>
      </c>
      <c r="C24" s="4">
        <f t="shared" si="0"/>
        <v>0.42424242424242425</v>
      </c>
      <c r="D24" t="str">
        <f t="shared" si="1"/>
        <v>MEDIO</v>
      </c>
    </row>
    <row r="25" spans="1:4" x14ac:dyDescent="0.3">
      <c r="A25" s="1">
        <v>2283</v>
      </c>
      <c r="B25" s="1">
        <v>205</v>
      </c>
      <c r="C25" s="4">
        <f t="shared" si="0"/>
        <v>8.9794130530004374E-2</v>
      </c>
      <c r="D25" t="str">
        <f t="shared" si="1"/>
        <v>BAIXO</v>
      </c>
    </row>
    <row r="26" spans="1:4" x14ac:dyDescent="0.3">
      <c r="A26" s="1">
        <v>623</v>
      </c>
      <c r="B26" s="1">
        <v>97</v>
      </c>
      <c r="C26" s="4">
        <f t="shared" si="0"/>
        <v>0.15569823434991975</v>
      </c>
      <c r="D26" t="str">
        <f t="shared" si="1"/>
        <v>BAIXO</v>
      </c>
    </row>
    <row r="27" spans="1:4" x14ac:dyDescent="0.3">
      <c r="A27" s="1">
        <v>2629</v>
      </c>
      <c r="B27" s="1">
        <v>17</v>
      </c>
      <c r="C27" s="4">
        <f t="shared" si="0"/>
        <v>6.4663370102700643E-3</v>
      </c>
      <c r="D27" t="str">
        <f t="shared" si="1"/>
        <v>BAIXO</v>
      </c>
    </row>
    <row r="28" spans="1:4" x14ac:dyDescent="0.3">
      <c r="A28" s="1">
        <v>1429</v>
      </c>
      <c r="B28" s="1">
        <v>15</v>
      </c>
      <c r="C28" s="4">
        <f t="shared" si="0"/>
        <v>1.0496850944716585E-2</v>
      </c>
      <c r="D28" t="str">
        <f t="shared" si="1"/>
        <v>BAIXO</v>
      </c>
    </row>
    <row r="29" spans="1:4" x14ac:dyDescent="0.3">
      <c r="A29" s="1">
        <v>2401</v>
      </c>
      <c r="B29" s="1">
        <v>209</v>
      </c>
      <c r="C29" s="4">
        <f t="shared" si="0"/>
        <v>8.7047063723448559E-2</v>
      </c>
      <c r="D29" t="str">
        <f t="shared" si="1"/>
        <v>BAIXO</v>
      </c>
    </row>
    <row r="30" spans="1:4" x14ac:dyDescent="0.3">
      <c r="A30" s="1">
        <v>2488</v>
      </c>
      <c r="B30" s="1">
        <v>189</v>
      </c>
      <c r="C30" s="4">
        <f t="shared" si="0"/>
        <v>7.596463022508039E-2</v>
      </c>
      <c r="D30" t="str">
        <f t="shared" si="1"/>
        <v>BAIXO</v>
      </c>
    </row>
    <row r="31" spans="1:4" x14ac:dyDescent="0.3">
      <c r="A31" s="1">
        <v>706</v>
      </c>
      <c r="B31" s="1">
        <v>105</v>
      </c>
      <c r="C31" s="4">
        <f t="shared" si="0"/>
        <v>0.14872521246458922</v>
      </c>
      <c r="D31" t="str">
        <f t="shared" si="1"/>
        <v>BAIXO</v>
      </c>
    </row>
    <row r="32" spans="1:4" x14ac:dyDescent="0.3">
      <c r="A32" s="1">
        <v>2929</v>
      </c>
      <c r="B32" s="1">
        <v>214</v>
      </c>
      <c r="C32" s="4">
        <f t="shared" si="0"/>
        <v>7.3062478661659269E-2</v>
      </c>
      <c r="D32" t="str">
        <f t="shared" si="1"/>
        <v>BAIXO</v>
      </c>
    </row>
    <row r="33" spans="1:4" x14ac:dyDescent="0.3">
      <c r="A33" s="1">
        <v>1129</v>
      </c>
      <c r="B33" s="1">
        <v>119</v>
      </c>
      <c r="C33" s="4">
        <f t="shared" si="0"/>
        <v>0.1054030115146147</v>
      </c>
      <c r="D33" t="str">
        <f t="shared" si="1"/>
        <v>BAIXO</v>
      </c>
    </row>
    <row r="34" spans="1:4" x14ac:dyDescent="0.3">
      <c r="A34" s="1">
        <v>972</v>
      </c>
      <c r="B34" s="1">
        <v>132</v>
      </c>
      <c r="C34" s="4">
        <f t="shared" si="0"/>
        <v>0.13580246913580246</v>
      </c>
      <c r="D34" t="str">
        <f t="shared" si="1"/>
        <v>BAIXO</v>
      </c>
    </row>
    <row r="35" spans="1:4" x14ac:dyDescent="0.3">
      <c r="A35" s="1">
        <v>2656</v>
      </c>
      <c r="B35" s="1">
        <v>174</v>
      </c>
      <c r="C35" s="4">
        <f t="shared" si="0"/>
        <v>6.551204819277108E-2</v>
      </c>
      <c r="D35" t="str">
        <f t="shared" si="1"/>
        <v>BAIXO</v>
      </c>
    </row>
    <row r="36" spans="1:4" x14ac:dyDescent="0.3">
      <c r="A36" s="1">
        <v>957</v>
      </c>
      <c r="B36" s="1">
        <v>119</v>
      </c>
      <c r="C36" s="4">
        <f t="shared" si="0"/>
        <v>0.12434691745036573</v>
      </c>
      <c r="D36" t="str">
        <f t="shared" si="1"/>
        <v>BAIXO</v>
      </c>
    </row>
    <row r="37" spans="1:4" x14ac:dyDescent="0.3">
      <c r="A37" s="1">
        <v>2907</v>
      </c>
      <c r="B37" s="1">
        <v>178</v>
      </c>
      <c r="C37" s="4">
        <f t="shared" si="0"/>
        <v>6.1231510147918819E-2</v>
      </c>
      <c r="D37" t="str">
        <f t="shared" si="1"/>
        <v>BAIXO</v>
      </c>
    </row>
    <row r="38" spans="1:4" x14ac:dyDescent="0.3">
      <c r="A38" s="1">
        <v>2669</v>
      </c>
      <c r="B38" s="1">
        <v>254</v>
      </c>
      <c r="C38" s="4">
        <f t="shared" si="0"/>
        <v>9.5166729112026976E-2</v>
      </c>
      <c r="D38" t="str">
        <f t="shared" si="1"/>
        <v>BAIXO</v>
      </c>
    </row>
    <row r="39" spans="1:4" x14ac:dyDescent="0.3">
      <c r="A39" s="1">
        <v>747</v>
      </c>
      <c r="B39" s="1">
        <v>147</v>
      </c>
      <c r="C39" s="4">
        <f t="shared" si="0"/>
        <v>0.19678714859437751</v>
      </c>
      <c r="D39" t="str">
        <f t="shared" si="1"/>
        <v>BAIXO</v>
      </c>
    </row>
    <row r="40" spans="1:4" x14ac:dyDescent="0.3">
      <c r="A40" s="1">
        <v>431</v>
      </c>
      <c r="B40" s="1">
        <v>101</v>
      </c>
      <c r="C40" s="4">
        <f t="shared" si="0"/>
        <v>0.23433874709976799</v>
      </c>
      <c r="D40" t="str">
        <f t="shared" si="1"/>
        <v>BAIXO</v>
      </c>
    </row>
    <row r="41" spans="1:4" x14ac:dyDescent="0.3">
      <c r="A41" s="1">
        <v>228</v>
      </c>
      <c r="B41" s="1">
        <v>215</v>
      </c>
      <c r="C41" s="4">
        <f t="shared" si="0"/>
        <v>0.94298245614035092</v>
      </c>
      <c r="D41" t="str">
        <f t="shared" si="1"/>
        <v>ALTO</v>
      </c>
    </row>
    <row r="42" spans="1:4" x14ac:dyDescent="0.3">
      <c r="A42" s="1">
        <v>2025</v>
      </c>
      <c r="B42" s="1">
        <v>166</v>
      </c>
      <c r="C42" s="4">
        <f t="shared" si="0"/>
        <v>8.1975308641975303E-2</v>
      </c>
      <c r="D42" t="str">
        <f t="shared" si="1"/>
        <v>BAIXO</v>
      </c>
    </row>
    <row r="43" spans="1:4" x14ac:dyDescent="0.3">
      <c r="A43" s="1">
        <v>177</v>
      </c>
      <c r="B43" s="1">
        <v>171</v>
      </c>
      <c r="C43" s="4">
        <f t="shared" si="0"/>
        <v>0.96610169491525422</v>
      </c>
      <c r="D43" t="str">
        <f t="shared" si="1"/>
        <v>ALTO</v>
      </c>
    </row>
    <row r="44" spans="1:4" x14ac:dyDescent="0.3">
      <c r="A44" s="1">
        <v>2936</v>
      </c>
      <c r="B44" s="1">
        <v>207</v>
      </c>
      <c r="C44" s="4">
        <f t="shared" si="0"/>
        <v>7.0504087193460491E-2</v>
      </c>
      <c r="D44" t="str">
        <f t="shared" si="1"/>
        <v>BAIXO</v>
      </c>
    </row>
    <row r="45" spans="1:4" x14ac:dyDescent="0.3">
      <c r="A45" s="1">
        <v>2069</v>
      </c>
      <c r="B45" s="1">
        <v>179</v>
      </c>
      <c r="C45" s="4">
        <f t="shared" si="0"/>
        <v>8.6515224746254227E-2</v>
      </c>
      <c r="D45" t="str">
        <f t="shared" si="1"/>
        <v>BAIXO</v>
      </c>
    </row>
    <row r="46" spans="1:4" x14ac:dyDescent="0.3">
      <c r="A46" s="1">
        <v>251</v>
      </c>
      <c r="B46" s="1">
        <v>85</v>
      </c>
      <c r="C46" s="4">
        <f t="shared" si="0"/>
        <v>0.3386454183266932</v>
      </c>
      <c r="D46" t="str">
        <f t="shared" si="1"/>
        <v>MEDIO</v>
      </c>
    </row>
    <row r="47" spans="1:4" x14ac:dyDescent="0.3">
      <c r="A47" s="1">
        <v>1751</v>
      </c>
      <c r="B47" s="1">
        <v>161</v>
      </c>
      <c r="C47" s="4">
        <f t="shared" si="0"/>
        <v>9.1947458595088516E-2</v>
      </c>
      <c r="D47" t="str">
        <f t="shared" si="1"/>
        <v>BAIXO</v>
      </c>
    </row>
    <row r="48" spans="1:4" x14ac:dyDescent="0.3">
      <c r="A48" s="1">
        <v>897</v>
      </c>
      <c r="B48" s="1">
        <v>106</v>
      </c>
      <c r="C48" s="4">
        <f t="shared" si="0"/>
        <v>0.11817168338907469</v>
      </c>
      <c r="D48" t="str">
        <f t="shared" si="1"/>
        <v>BAIXO</v>
      </c>
    </row>
    <row r="49" spans="1:4" x14ac:dyDescent="0.3">
      <c r="A49" s="1">
        <v>2399</v>
      </c>
      <c r="B49" s="1">
        <v>232</v>
      </c>
      <c r="C49" s="4">
        <f t="shared" si="0"/>
        <v>9.6706961233847435E-2</v>
      </c>
      <c r="D49" t="str">
        <f t="shared" si="1"/>
        <v>BAIXO</v>
      </c>
    </row>
    <row r="50" spans="1:4" x14ac:dyDescent="0.3">
      <c r="A50" s="1">
        <v>2272</v>
      </c>
      <c r="B50" s="1">
        <v>198</v>
      </c>
      <c r="C50" s="4">
        <f t="shared" si="0"/>
        <v>8.7147887323943657E-2</v>
      </c>
      <c r="D50" t="str">
        <f t="shared" si="1"/>
        <v>BAIXO</v>
      </c>
    </row>
    <row r="51" spans="1:4" x14ac:dyDescent="0.3">
      <c r="A51" s="1">
        <v>669</v>
      </c>
      <c r="B51" s="1">
        <v>97</v>
      </c>
      <c r="C51" s="4">
        <f t="shared" si="0"/>
        <v>0.14499252615844543</v>
      </c>
      <c r="D51" t="str">
        <f t="shared" si="1"/>
        <v>BAIXO</v>
      </c>
    </row>
    <row r="52" spans="1:4" x14ac:dyDescent="0.3">
      <c r="A52" s="1">
        <v>1998</v>
      </c>
      <c r="B52" s="1">
        <v>164</v>
      </c>
      <c r="C52" s="4">
        <f t="shared" si="0"/>
        <v>8.2082082082082078E-2</v>
      </c>
      <c r="D52" t="str">
        <f t="shared" si="1"/>
        <v>BAIXO</v>
      </c>
    </row>
    <row r="53" spans="1:4" x14ac:dyDescent="0.3">
      <c r="A53" s="1">
        <v>1004</v>
      </c>
      <c r="B53" s="1">
        <v>107</v>
      </c>
      <c r="C53" s="4">
        <f t="shared" si="0"/>
        <v>0.10657370517928287</v>
      </c>
      <c r="D53" t="str">
        <f t="shared" si="1"/>
        <v>BAIXO</v>
      </c>
    </row>
    <row r="54" spans="1:4" x14ac:dyDescent="0.3">
      <c r="A54" s="1">
        <v>2164</v>
      </c>
      <c r="B54" s="1">
        <v>226</v>
      </c>
      <c r="C54" s="4">
        <f t="shared" si="0"/>
        <v>0.1044362292051756</v>
      </c>
      <c r="D54" t="str">
        <f t="shared" si="1"/>
        <v>BAIXO</v>
      </c>
    </row>
    <row r="55" spans="1:4" x14ac:dyDescent="0.3">
      <c r="A55" s="1">
        <v>1826</v>
      </c>
      <c r="B55" s="1">
        <v>212</v>
      </c>
      <c r="C55" s="4">
        <f t="shared" si="0"/>
        <v>0.11610076670317634</v>
      </c>
      <c r="D55" t="str">
        <f t="shared" si="1"/>
        <v>BAIXO</v>
      </c>
    </row>
    <row r="56" spans="1:4" x14ac:dyDescent="0.3">
      <c r="A56" s="1">
        <v>2627</v>
      </c>
      <c r="B56" s="1">
        <v>202</v>
      </c>
      <c r="C56" s="4">
        <f t="shared" si="0"/>
        <v>7.6893795203654358E-2</v>
      </c>
      <c r="D56" t="str">
        <f t="shared" si="1"/>
        <v>BAIXO</v>
      </c>
    </row>
    <row r="57" spans="1:4" x14ac:dyDescent="0.3">
      <c r="A57" s="1">
        <v>1989</v>
      </c>
      <c r="B57" s="1">
        <v>237</v>
      </c>
      <c r="C57" s="4">
        <f t="shared" si="0"/>
        <v>0.1191553544494721</v>
      </c>
      <c r="D57" t="str">
        <f t="shared" si="1"/>
        <v>BAIXO</v>
      </c>
    </row>
    <row r="58" spans="1:4" x14ac:dyDescent="0.3">
      <c r="A58" s="1">
        <v>73</v>
      </c>
      <c r="B58" s="1">
        <v>55</v>
      </c>
      <c r="C58" s="4">
        <f t="shared" si="0"/>
        <v>0.75342465753424659</v>
      </c>
      <c r="D58" t="str">
        <f t="shared" si="1"/>
        <v>ALTO</v>
      </c>
    </row>
    <row r="59" spans="1:4" x14ac:dyDescent="0.3">
      <c r="A59" s="1">
        <v>1362</v>
      </c>
      <c r="B59" s="1">
        <v>132</v>
      </c>
      <c r="C59" s="4">
        <f t="shared" si="0"/>
        <v>9.6916299559471369E-2</v>
      </c>
      <c r="D59" t="str">
        <f t="shared" si="1"/>
        <v>BAIXO</v>
      </c>
    </row>
    <row r="60" spans="1:4" x14ac:dyDescent="0.3">
      <c r="A60" s="1">
        <v>2108</v>
      </c>
      <c r="B60" s="1">
        <v>238</v>
      </c>
      <c r="C60" s="4">
        <f t="shared" si="0"/>
        <v>0.11290322580645161</v>
      </c>
      <c r="D60" t="str">
        <f t="shared" si="1"/>
        <v>BAIXO</v>
      </c>
    </row>
    <row r="61" spans="1:4" x14ac:dyDescent="0.3">
      <c r="A61" s="1">
        <v>2107</v>
      </c>
      <c r="B61" s="1">
        <v>184</v>
      </c>
      <c r="C61" s="4">
        <f t="shared" si="0"/>
        <v>8.7327954437588992E-2</v>
      </c>
      <c r="D61" t="str">
        <f t="shared" si="1"/>
        <v>BAIXO</v>
      </c>
    </row>
    <row r="62" spans="1:4" x14ac:dyDescent="0.3">
      <c r="A62" s="1">
        <v>535</v>
      </c>
      <c r="B62" s="1">
        <v>81</v>
      </c>
      <c r="C62" s="4">
        <f t="shared" si="0"/>
        <v>0.15140186915887852</v>
      </c>
      <c r="D62" t="str">
        <f t="shared" si="1"/>
        <v>BAIXO</v>
      </c>
    </row>
    <row r="63" spans="1:4" x14ac:dyDescent="0.3">
      <c r="A63" s="1">
        <v>2613</v>
      </c>
      <c r="B63" s="1">
        <v>242</v>
      </c>
      <c r="C63" s="4">
        <f t="shared" si="0"/>
        <v>9.2613853807883659E-2</v>
      </c>
      <c r="D63" t="str">
        <f t="shared" si="1"/>
        <v>BAIXO</v>
      </c>
    </row>
    <row r="64" spans="1:4" x14ac:dyDescent="0.3">
      <c r="A64" s="1">
        <v>2393</v>
      </c>
      <c r="B64" s="1">
        <v>207</v>
      </c>
      <c r="C64" s="4">
        <f t="shared" si="0"/>
        <v>8.6502298370246547E-2</v>
      </c>
      <c r="D64" t="str">
        <f t="shared" si="1"/>
        <v>BAIXO</v>
      </c>
    </row>
    <row r="65" spans="1:4" x14ac:dyDescent="0.3">
      <c r="A65" s="1">
        <v>1027</v>
      </c>
      <c r="B65" s="1">
        <v>14</v>
      </c>
      <c r="C65" s="4">
        <f t="shared" si="0"/>
        <v>1.3631937682570594E-2</v>
      </c>
      <c r="D65" t="str">
        <f t="shared" si="1"/>
        <v>BAIXO</v>
      </c>
    </row>
    <row r="66" spans="1:4" x14ac:dyDescent="0.3">
      <c r="A66" s="1">
        <v>1311</v>
      </c>
      <c r="B66" s="1">
        <v>16</v>
      </c>
      <c r="C66" s="4">
        <f t="shared" si="0"/>
        <v>1.2204424103737605E-2</v>
      </c>
      <c r="D66" t="str">
        <f t="shared" si="1"/>
        <v>BAIXO</v>
      </c>
    </row>
    <row r="67" spans="1:4" x14ac:dyDescent="0.3">
      <c r="A67" s="1">
        <v>69</v>
      </c>
      <c r="B67" s="1">
        <v>113</v>
      </c>
      <c r="C67" s="4">
        <f t="shared" ref="C67:C130" si="2">B67/A67</f>
        <v>1.6376811594202898</v>
      </c>
      <c r="D67" t="str">
        <f t="shared" ref="D67:D130" si="3">VLOOKUP(C67,$F$2:$H$5,3,TRUE)</f>
        <v>MUITO ALTO</v>
      </c>
    </row>
    <row r="68" spans="1:4" x14ac:dyDescent="0.3">
      <c r="A68" s="1">
        <v>315</v>
      </c>
      <c r="B68" s="1">
        <v>11</v>
      </c>
      <c r="C68" s="4">
        <f t="shared" si="2"/>
        <v>3.4920634920634921E-2</v>
      </c>
      <c r="D68" t="str">
        <f t="shared" si="3"/>
        <v>BAIXO</v>
      </c>
    </row>
    <row r="69" spans="1:4" x14ac:dyDescent="0.3">
      <c r="A69" s="1">
        <v>1393</v>
      </c>
      <c r="B69" s="1">
        <v>134</v>
      </c>
      <c r="C69" s="4">
        <f t="shared" si="2"/>
        <v>9.6195262024407757E-2</v>
      </c>
      <c r="D69" t="str">
        <f t="shared" si="3"/>
        <v>BAIXO</v>
      </c>
    </row>
    <row r="70" spans="1:4" x14ac:dyDescent="0.3">
      <c r="A70" s="1">
        <v>2374</v>
      </c>
      <c r="B70" s="1">
        <v>189</v>
      </c>
      <c r="C70" s="4">
        <f t="shared" si="2"/>
        <v>7.9612468407750631E-2</v>
      </c>
      <c r="D70" t="str">
        <f t="shared" si="3"/>
        <v>BAIXO</v>
      </c>
    </row>
    <row r="71" spans="1:4" x14ac:dyDescent="0.3">
      <c r="A71" s="1">
        <v>2168</v>
      </c>
      <c r="B71" s="1">
        <v>223</v>
      </c>
      <c r="C71" s="4">
        <f t="shared" si="2"/>
        <v>0.10285977859778597</v>
      </c>
      <c r="D71" t="str">
        <f t="shared" si="3"/>
        <v>BAIXO</v>
      </c>
    </row>
    <row r="72" spans="1:4" x14ac:dyDescent="0.3">
      <c r="A72" s="1">
        <v>1991</v>
      </c>
      <c r="B72" s="1">
        <v>183</v>
      </c>
      <c r="C72" s="4">
        <f t="shared" si="2"/>
        <v>9.191361125062783E-2</v>
      </c>
      <c r="D72" t="str">
        <f t="shared" si="3"/>
        <v>BAIXO</v>
      </c>
    </row>
    <row r="73" spans="1:4" x14ac:dyDescent="0.3">
      <c r="A73" s="1">
        <v>1098</v>
      </c>
      <c r="B73" s="1">
        <v>124</v>
      </c>
      <c r="C73" s="4">
        <f t="shared" si="2"/>
        <v>0.11293260473588343</v>
      </c>
      <c r="D73" t="str">
        <f t="shared" si="3"/>
        <v>BAIXO</v>
      </c>
    </row>
    <row r="74" spans="1:4" x14ac:dyDescent="0.3">
      <c r="A74" s="1">
        <v>268</v>
      </c>
      <c r="B74" s="1">
        <v>88</v>
      </c>
      <c r="C74" s="4">
        <f t="shared" si="2"/>
        <v>0.32835820895522388</v>
      </c>
      <c r="D74" t="str">
        <f t="shared" si="3"/>
        <v>MEDIO</v>
      </c>
    </row>
    <row r="75" spans="1:4" x14ac:dyDescent="0.3">
      <c r="A75" s="1">
        <v>1294</v>
      </c>
      <c r="B75" s="1">
        <v>11</v>
      </c>
      <c r="C75" s="4">
        <f t="shared" si="2"/>
        <v>8.5007727975270481E-3</v>
      </c>
      <c r="D75" t="str">
        <f t="shared" si="3"/>
        <v>BAIXO</v>
      </c>
    </row>
    <row r="76" spans="1:4" x14ac:dyDescent="0.3">
      <c r="A76" s="1">
        <v>2134</v>
      </c>
      <c r="B76" s="1">
        <v>17</v>
      </c>
      <c r="C76" s="4">
        <f t="shared" si="2"/>
        <v>7.9662605435801316E-3</v>
      </c>
      <c r="D76" t="str">
        <f t="shared" si="3"/>
        <v>BAIXO</v>
      </c>
    </row>
    <row r="77" spans="1:4" x14ac:dyDescent="0.3">
      <c r="A77" s="1">
        <v>169</v>
      </c>
      <c r="B77" s="1">
        <v>87</v>
      </c>
      <c r="C77" s="4">
        <f t="shared" si="2"/>
        <v>0.51479289940828399</v>
      </c>
      <c r="D77" t="str">
        <f t="shared" si="3"/>
        <v>ALTO</v>
      </c>
    </row>
    <row r="78" spans="1:4" x14ac:dyDescent="0.3">
      <c r="A78" s="1">
        <v>275</v>
      </c>
      <c r="B78" s="1">
        <v>69</v>
      </c>
      <c r="C78" s="4">
        <f t="shared" si="2"/>
        <v>0.25090909090909091</v>
      </c>
      <c r="D78" t="str">
        <f t="shared" si="3"/>
        <v>MEDIO</v>
      </c>
    </row>
    <row r="79" spans="1:4" x14ac:dyDescent="0.3">
      <c r="A79" s="1">
        <v>1205</v>
      </c>
      <c r="B79" s="1">
        <v>142</v>
      </c>
      <c r="C79" s="4">
        <f t="shared" si="2"/>
        <v>0.11784232365145228</v>
      </c>
      <c r="D79" t="str">
        <f t="shared" si="3"/>
        <v>BAIXO</v>
      </c>
    </row>
    <row r="80" spans="1:4" x14ac:dyDescent="0.3">
      <c r="A80" s="1">
        <v>54</v>
      </c>
      <c r="B80" s="1">
        <v>53</v>
      </c>
      <c r="C80" s="4">
        <f t="shared" si="2"/>
        <v>0.98148148148148151</v>
      </c>
      <c r="D80" t="str">
        <f t="shared" si="3"/>
        <v>ALTO</v>
      </c>
    </row>
    <row r="81" spans="1:4" x14ac:dyDescent="0.3">
      <c r="A81" s="1">
        <v>116</v>
      </c>
      <c r="B81" s="1">
        <v>11</v>
      </c>
      <c r="C81" s="4">
        <f t="shared" si="2"/>
        <v>9.4827586206896547E-2</v>
      </c>
      <c r="D81" t="str">
        <f t="shared" si="3"/>
        <v>BAIXO</v>
      </c>
    </row>
    <row r="82" spans="1:4" x14ac:dyDescent="0.3">
      <c r="A82" s="1">
        <v>764</v>
      </c>
      <c r="B82" s="1">
        <v>118</v>
      </c>
      <c r="C82" s="4">
        <f t="shared" si="2"/>
        <v>0.15445026178010471</v>
      </c>
      <c r="D82" t="str">
        <f t="shared" si="3"/>
        <v>BAIXO</v>
      </c>
    </row>
    <row r="83" spans="1:4" x14ac:dyDescent="0.3">
      <c r="A83" s="1">
        <v>2398</v>
      </c>
      <c r="B83" s="1">
        <v>173</v>
      </c>
      <c r="C83" s="4">
        <f t="shared" si="2"/>
        <v>7.2143452877397832E-2</v>
      </c>
      <c r="D83" t="str">
        <f t="shared" si="3"/>
        <v>BAIXO</v>
      </c>
    </row>
    <row r="84" spans="1:4" x14ac:dyDescent="0.3">
      <c r="A84" s="1">
        <v>753</v>
      </c>
      <c r="B84" s="1">
        <v>113</v>
      </c>
      <c r="C84" s="4">
        <f t="shared" si="2"/>
        <v>0.150066401062417</v>
      </c>
      <c r="D84" t="str">
        <f t="shared" si="3"/>
        <v>BAIXO</v>
      </c>
    </row>
    <row r="85" spans="1:4" x14ac:dyDescent="0.3">
      <c r="A85" s="1">
        <v>684</v>
      </c>
      <c r="B85" s="1">
        <v>136</v>
      </c>
      <c r="C85" s="4">
        <f t="shared" si="2"/>
        <v>0.19883040935672514</v>
      </c>
      <c r="D85" t="str">
        <f t="shared" si="3"/>
        <v>BAIXO</v>
      </c>
    </row>
    <row r="86" spans="1:4" x14ac:dyDescent="0.3">
      <c r="A86" s="1">
        <v>2135</v>
      </c>
      <c r="B86" s="1">
        <v>217</v>
      </c>
      <c r="C86" s="4">
        <f t="shared" si="2"/>
        <v>0.10163934426229508</v>
      </c>
      <c r="D86" t="str">
        <f t="shared" si="3"/>
        <v>BAIXO</v>
      </c>
    </row>
    <row r="87" spans="1:4" x14ac:dyDescent="0.3">
      <c r="A87" s="1">
        <v>1932</v>
      </c>
      <c r="B87" s="1">
        <v>202</v>
      </c>
      <c r="C87" s="4">
        <f t="shared" si="2"/>
        <v>0.10455486542443064</v>
      </c>
      <c r="D87" t="str">
        <f t="shared" si="3"/>
        <v>BAIXO</v>
      </c>
    </row>
    <row r="88" spans="1:4" x14ac:dyDescent="0.3">
      <c r="A88" s="1">
        <v>763</v>
      </c>
      <c r="B88" s="1">
        <v>12</v>
      </c>
      <c r="C88" s="4">
        <f t="shared" si="2"/>
        <v>1.5727391874180863E-2</v>
      </c>
      <c r="D88" t="str">
        <f t="shared" si="3"/>
        <v>BAIXO</v>
      </c>
    </row>
    <row r="89" spans="1:4" x14ac:dyDescent="0.3">
      <c r="A89" s="1">
        <v>1107</v>
      </c>
      <c r="B89" s="1">
        <v>16</v>
      </c>
      <c r="C89" s="4">
        <f t="shared" si="2"/>
        <v>1.4453477868112014E-2</v>
      </c>
      <c r="D89" t="str">
        <f t="shared" si="3"/>
        <v>BAIXO</v>
      </c>
    </row>
    <row r="90" spans="1:4" x14ac:dyDescent="0.3">
      <c r="A90" s="1">
        <v>883</v>
      </c>
      <c r="B90" s="1">
        <v>129</v>
      </c>
      <c r="C90" s="4">
        <f t="shared" si="2"/>
        <v>0.14609286523216308</v>
      </c>
      <c r="D90" t="str">
        <f t="shared" si="3"/>
        <v>BAIXO</v>
      </c>
    </row>
    <row r="91" spans="1:4" x14ac:dyDescent="0.3">
      <c r="A91" s="1">
        <v>1098</v>
      </c>
      <c r="B91" s="1">
        <v>167</v>
      </c>
      <c r="C91" s="4">
        <f t="shared" si="2"/>
        <v>0.15209471766848817</v>
      </c>
      <c r="D91" t="str">
        <f t="shared" si="3"/>
        <v>BAIXO</v>
      </c>
    </row>
    <row r="92" spans="1:4" x14ac:dyDescent="0.3">
      <c r="A92" s="1">
        <v>1343</v>
      </c>
      <c r="B92" s="1">
        <v>14</v>
      </c>
      <c r="C92" s="4">
        <f t="shared" si="2"/>
        <v>1.0424422933730455E-2</v>
      </c>
      <c r="D92" t="str">
        <f t="shared" si="3"/>
        <v>BAIXO</v>
      </c>
    </row>
    <row r="93" spans="1:4" x14ac:dyDescent="0.3">
      <c r="A93" s="1">
        <v>286</v>
      </c>
      <c r="B93" s="1">
        <v>73</v>
      </c>
      <c r="C93" s="4">
        <f t="shared" si="2"/>
        <v>0.25524475524475526</v>
      </c>
      <c r="D93" t="str">
        <f t="shared" si="3"/>
        <v>MEDIO</v>
      </c>
    </row>
    <row r="94" spans="1:4" x14ac:dyDescent="0.3">
      <c r="A94" s="1">
        <v>2177</v>
      </c>
      <c r="B94" s="1">
        <v>194</v>
      </c>
      <c r="C94" s="4">
        <f t="shared" si="2"/>
        <v>8.9113458888378502E-2</v>
      </c>
      <c r="D94" t="str">
        <f t="shared" si="3"/>
        <v>BAIXO</v>
      </c>
    </row>
    <row r="95" spans="1:4" x14ac:dyDescent="0.3">
      <c r="A95" s="1">
        <v>2509</v>
      </c>
      <c r="B95" s="1">
        <v>222</v>
      </c>
      <c r="C95" s="4">
        <f t="shared" si="2"/>
        <v>8.8481466719808693E-2</v>
      </c>
      <c r="D95" t="str">
        <f t="shared" si="3"/>
        <v>BAIXO</v>
      </c>
    </row>
    <row r="96" spans="1:4" x14ac:dyDescent="0.3">
      <c r="A96" s="1">
        <v>1074</v>
      </c>
      <c r="B96" s="1">
        <v>115</v>
      </c>
      <c r="C96" s="4">
        <f t="shared" si="2"/>
        <v>0.10707635009310987</v>
      </c>
      <c r="D96" t="str">
        <f t="shared" si="3"/>
        <v>BAIXO</v>
      </c>
    </row>
    <row r="97" spans="1:4" x14ac:dyDescent="0.3">
      <c r="A97" s="1">
        <v>1633</v>
      </c>
      <c r="B97" s="1">
        <v>169</v>
      </c>
      <c r="C97" s="4">
        <f t="shared" si="2"/>
        <v>0.10349050826699327</v>
      </c>
      <c r="D97" t="str">
        <f t="shared" si="3"/>
        <v>BAIXO</v>
      </c>
    </row>
    <row r="98" spans="1:4" x14ac:dyDescent="0.3">
      <c r="A98" s="1">
        <v>1976</v>
      </c>
      <c r="B98" s="1">
        <v>167</v>
      </c>
      <c r="C98" s="4">
        <f t="shared" si="2"/>
        <v>8.4514170040485836E-2</v>
      </c>
      <c r="D98" t="str">
        <f t="shared" si="3"/>
        <v>BAIXO</v>
      </c>
    </row>
    <row r="99" spans="1:4" x14ac:dyDescent="0.3">
      <c r="A99" s="1">
        <v>1849</v>
      </c>
      <c r="B99" s="1">
        <v>205</v>
      </c>
      <c r="C99" s="4">
        <f t="shared" si="2"/>
        <v>0.11087074094104922</v>
      </c>
      <c r="D99" t="str">
        <f t="shared" si="3"/>
        <v>BAIXO</v>
      </c>
    </row>
    <row r="100" spans="1:4" x14ac:dyDescent="0.3">
      <c r="A100" s="1">
        <v>2897</v>
      </c>
      <c r="B100" s="1">
        <v>254</v>
      </c>
      <c r="C100" s="4">
        <f t="shared" si="2"/>
        <v>8.7676907145322752E-2</v>
      </c>
      <c r="D100" t="str">
        <f t="shared" si="3"/>
        <v>BAIXO</v>
      </c>
    </row>
    <row r="101" spans="1:4" x14ac:dyDescent="0.3">
      <c r="A101" s="1">
        <v>1352</v>
      </c>
      <c r="B101" s="1">
        <v>172</v>
      </c>
      <c r="C101" s="4">
        <f t="shared" si="2"/>
        <v>0.12721893491124261</v>
      </c>
      <c r="D101" t="str">
        <f t="shared" si="3"/>
        <v>BAIXO</v>
      </c>
    </row>
    <row r="102" spans="1:4" x14ac:dyDescent="0.3">
      <c r="A102" s="1">
        <v>2224</v>
      </c>
      <c r="B102" s="1">
        <v>167</v>
      </c>
      <c r="C102" s="4">
        <f t="shared" si="2"/>
        <v>7.5089928057553962E-2</v>
      </c>
      <c r="D102" t="str">
        <f t="shared" si="3"/>
        <v>BAIXO</v>
      </c>
    </row>
    <row r="103" spans="1:4" x14ac:dyDescent="0.3">
      <c r="A103" s="1">
        <v>2964</v>
      </c>
      <c r="B103" s="1">
        <v>238</v>
      </c>
      <c r="C103" s="4">
        <f t="shared" si="2"/>
        <v>8.0296896086369765E-2</v>
      </c>
      <c r="D103" t="str">
        <f t="shared" si="3"/>
        <v>BAIXO</v>
      </c>
    </row>
    <row r="104" spans="1:4" x14ac:dyDescent="0.3">
      <c r="A104" s="1">
        <v>2802</v>
      </c>
      <c r="B104" s="1">
        <v>198</v>
      </c>
      <c r="C104" s="4">
        <f t="shared" si="2"/>
        <v>7.0663811563169171E-2</v>
      </c>
      <c r="D104" t="str">
        <f t="shared" si="3"/>
        <v>BAIXO</v>
      </c>
    </row>
    <row r="105" spans="1:4" x14ac:dyDescent="0.3">
      <c r="A105" s="1">
        <v>1879</v>
      </c>
      <c r="B105" s="1">
        <v>197</v>
      </c>
      <c r="C105" s="4">
        <f t="shared" si="2"/>
        <v>0.10484300159659393</v>
      </c>
      <c r="D105" t="str">
        <f t="shared" si="3"/>
        <v>BAIXO</v>
      </c>
    </row>
    <row r="106" spans="1:4" x14ac:dyDescent="0.3">
      <c r="A106" s="1">
        <v>2382</v>
      </c>
      <c r="B106" s="1">
        <v>207</v>
      </c>
      <c r="C106" s="4">
        <f t="shared" si="2"/>
        <v>8.6901763224181361E-2</v>
      </c>
      <c r="D106" t="str">
        <f t="shared" si="3"/>
        <v>BAIXO</v>
      </c>
    </row>
    <row r="107" spans="1:4" x14ac:dyDescent="0.3">
      <c r="A107" s="1">
        <v>1379</v>
      </c>
      <c r="B107" s="1">
        <v>15</v>
      </c>
      <c r="C107" s="4">
        <f t="shared" si="2"/>
        <v>1.0877447425670777E-2</v>
      </c>
      <c r="D107" t="str">
        <f t="shared" si="3"/>
        <v>BAIXO</v>
      </c>
    </row>
    <row r="108" spans="1:4" x14ac:dyDescent="0.3">
      <c r="A108" s="1">
        <v>25</v>
      </c>
      <c r="B108" s="1">
        <v>72</v>
      </c>
      <c r="C108" s="4">
        <f t="shared" si="2"/>
        <v>2.88</v>
      </c>
      <c r="D108" t="str">
        <f t="shared" si="3"/>
        <v>MUITO ALTO</v>
      </c>
    </row>
    <row r="109" spans="1:4" x14ac:dyDescent="0.3">
      <c r="A109" s="1">
        <v>904</v>
      </c>
      <c r="B109" s="1">
        <v>12</v>
      </c>
      <c r="C109" s="4">
        <f t="shared" si="2"/>
        <v>1.3274336283185841E-2</v>
      </c>
      <c r="D109" t="str">
        <f t="shared" si="3"/>
        <v>BAIXO</v>
      </c>
    </row>
    <row r="110" spans="1:4" x14ac:dyDescent="0.3">
      <c r="A110" s="1">
        <v>131</v>
      </c>
      <c r="B110" s="1">
        <v>53</v>
      </c>
      <c r="C110" s="4">
        <f t="shared" si="2"/>
        <v>0.40458015267175573</v>
      </c>
      <c r="D110" t="str">
        <f t="shared" si="3"/>
        <v>MEDIO</v>
      </c>
    </row>
    <row r="111" spans="1:4" x14ac:dyDescent="0.3">
      <c r="A111" s="1">
        <v>2554</v>
      </c>
      <c r="B111" s="1">
        <v>198</v>
      </c>
      <c r="C111" s="4">
        <f t="shared" si="2"/>
        <v>7.752545027407988E-2</v>
      </c>
      <c r="D111" t="str">
        <f t="shared" si="3"/>
        <v>BAIXO</v>
      </c>
    </row>
    <row r="112" spans="1:4" x14ac:dyDescent="0.3">
      <c r="A112" s="1">
        <v>2258</v>
      </c>
      <c r="B112" s="1">
        <v>184</v>
      </c>
      <c r="C112" s="4">
        <f t="shared" si="2"/>
        <v>8.1488042515500445E-2</v>
      </c>
      <c r="D112" t="str">
        <f t="shared" si="3"/>
        <v>BAIXO</v>
      </c>
    </row>
    <row r="113" spans="1:4" x14ac:dyDescent="0.3">
      <c r="A113" s="1">
        <v>2417</v>
      </c>
      <c r="B113" s="1">
        <v>218</v>
      </c>
      <c r="C113" s="4">
        <f t="shared" si="2"/>
        <v>9.0194455937112117E-2</v>
      </c>
      <c r="D113" t="str">
        <f t="shared" si="3"/>
        <v>BAIXO</v>
      </c>
    </row>
    <row r="114" spans="1:4" x14ac:dyDescent="0.3">
      <c r="A114" s="1">
        <v>1757</v>
      </c>
      <c r="B114" s="1">
        <v>171</v>
      </c>
      <c r="C114" s="4">
        <f t="shared" si="2"/>
        <v>9.7324985771200911E-2</v>
      </c>
      <c r="D114" t="str">
        <f t="shared" si="3"/>
        <v>BAIXO</v>
      </c>
    </row>
    <row r="115" spans="1:4" x14ac:dyDescent="0.3">
      <c r="A115" s="1">
        <v>2096</v>
      </c>
      <c r="B115" s="1">
        <v>209</v>
      </c>
      <c r="C115" s="4">
        <f t="shared" si="2"/>
        <v>9.9713740458015274E-2</v>
      </c>
      <c r="D115" t="str">
        <f t="shared" si="3"/>
        <v>BAIXO</v>
      </c>
    </row>
    <row r="116" spans="1:4" x14ac:dyDescent="0.3">
      <c r="A116" s="1">
        <v>782</v>
      </c>
      <c r="B116" s="1">
        <v>146</v>
      </c>
      <c r="C116" s="4">
        <f t="shared" si="2"/>
        <v>0.1867007672634271</v>
      </c>
      <c r="D116" t="str">
        <f t="shared" si="3"/>
        <v>BAIXO</v>
      </c>
    </row>
    <row r="117" spans="1:4" x14ac:dyDescent="0.3">
      <c r="A117" s="1">
        <v>751</v>
      </c>
      <c r="B117" s="1">
        <v>126</v>
      </c>
      <c r="C117" s="4">
        <f t="shared" si="2"/>
        <v>0.16777629826897469</v>
      </c>
      <c r="D117" t="str">
        <f t="shared" si="3"/>
        <v>BAIXO</v>
      </c>
    </row>
    <row r="118" spans="1:4" x14ac:dyDescent="0.3">
      <c r="A118" s="1">
        <v>1392</v>
      </c>
      <c r="B118" s="1">
        <v>122</v>
      </c>
      <c r="C118" s="4">
        <f t="shared" si="2"/>
        <v>8.7643678160919544E-2</v>
      </c>
      <c r="D118" t="str">
        <f t="shared" si="3"/>
        <v>BAIXO</v>
      </c>
    </row>
    <row r="119" spans="1:4" x14ac:dyDescent="0.3">
      <c r="A119" s="1">
        <v>764</v>
      </c>
      <c r="B119" s="1">
        <v>94</v>
      </c>
      <c r="C119" s="4">
        <f t="shared" si="2"/>
        <v>0.12303664921465969</v>
      </c>
      <c r="D119" t="str">
        <f t="shared" si="3"/>
        <v>BAIXO</v>
      </c>
    </row>
    <row r="120" spans="1:4" x14ac:dyDescent="0.3">
      <c r="A120" s="1">
        <v>1257</v>
      </c>
      <c r="B120" s="1">
        <v>159</v>
      </c>
      <c r="C120" s="4">
        <f t="shared" si="2"/>
        <v>0.12649164677804295</v>
      </c>
      <c r="D120" t="str">
        <f t="shared" si="3"/>
        <v>BAIXO</v>
      </c>
    </row>
    <row r="121" spans="1:4" x14ac:dyDescent="0.3">
      <c r="A121" s="1">
        <v>194</v>
      </c>
      <c r="B121" s="1">
        <v>66</v>
      </c>
      <c r="C121" s="4">
        <f t="shared" si="2"/>
        <v>0.34020618556701032</v>
      </c>
      <c r="D121" t="str">
        <f t="shared" si="3"/>
        <v>MEDIO</v>
      </c>
    </row>
    <row r="122" spans="1:4" x14ac:dyDescent="0.3">
      <c r="A122" s="1">
        <v>1413</v>
      </c>
      <c r="B122" s="1">
        <v>155</v>
      </c>
      <c r="C122" s="4">
        <f t="shared" si="2"/>
        <v>0.10969568294409059</v>
      </c>
      <c r="D122" t="str">
        <f t="shared" si="3"/>
        <v>BAIXO</v>
      </c>
    </row>
    <row r="123" spans="1:4" x14ac:dyDescent="0.3">
      <c r="A123" s="1">
        <v>188</v>
      </c>
      <c r="B123" s="1">
        <v>7</v>
      </c>
      <c r="C123" s="4">
        <f t="shared" si="2"/>
        <v>3.7234042553191488E-2</v>
      </c>
      <c r="D123" t="str">
        <f t="shared" si="3"/>
        <v>BAIXO</v>
      </c>
    </row>
    <row r="124" spans="1:4" x14ac:dyDescent="0.3">
      <c r="A124" s="1">
        <v>224</v>
      </c>
      <c r="B124" s="1">
        <v>166</v>
      </c>
      <c r="C124" s="4">
        <f t="shared" si="2"/>
        <v>0.7410714285714286</v>
      </c>
      <c r="D124" t="str">
        <f t="shared" si="3"/>
        <v>ALTO</v>
      </c>
    </row>
    <row r="125" spans="1:4" x14ac:dyDescent="0.3">
      <c r="A125" s="1">
        <v>1231</v>
      </c>
      <c r="B125" s="1">
        <v>152</v>
      </c>
      <c r="C125" s="4">
        <f t="shared" si="2"/>
        <v>0.12347684809098294</v>
      </c>
      <c r="D125" t="str">
        <f t="shared" si="3"/>
        <v>BAIXO</v>
      </c>
    </row>
    <row r="126" spans="1:4" x14ac:dyDescent="0.3">
      <c r="A126" s="1">
        <v>2295</v>
      </c>
      <c r="B126" s="1">
        <v>197</v>
      </c>
      <c r="C126" s="4">
        <f t="shared" si="2"/>
        <v>8.5838779956427011E-2</v>
      </c>
      <c r="D126" t="str">
        <f t="shared" si="3"/>
        <v>BAIXO</v>
      </c>
    </row>
    <row r="127" spans="1:4" x14ac:dyDescent="0.3">
      <c r="A127" s="1">
        <v>872</v>
      </c>
      <c r="B127" s="1">
        <v>106</v>
      </c>
      <c r="C127" s="4">
        <f t="shared" si="2"/>
        <v>0.12155963302752294</v>
      </c>
      <c r="D127" t="str">
        <f t="shared" si="3"/>
        <v>BAIXO</v>
      </c>
    </row>
    <row r="128" spans="1:4" x14ac:dyDescent="0.3">
      <c r="A128" s="1">
        <v>78</v>
      </c>
      <c r="B128" s="1">
        <v>66</v>
      </c>
      <c r="C128" s="4">
        <f t="shared" si="2"/>
        <v>0.84615384615384615</v>
      </c>
      <c r="D128" t="str">
        <f t="shared" si="3"/>
        <v>ALTO</v>
      </c>
    </row>
    <row r="129" spans="1:4" x14ac:dyDescent="0.3">
      <c r="A129" s="1">
        <v>802</v>
      </c>
      <c r="B129" s="1">
        <v>119</v>
      </c>
      <c r="C129" s="4">
        <f t="shared" si="2"/>
        <v>0.14837905236907731</v>
      </c>
      <c r="D129" t="str">
        <f t="shared" si="3"/>
        <v>BAIXO</v>
      </c>
    </row>
    <row r="130" spans="1:4" x14ac:dyDescent="0.3">
      <c r="A130" s="1">
        <v>2203</v>
      </c>
      <c r="B130" s="1">
        <v>247</v>
      </c>
      <c r="C130" s="4">
        <f t="shared" si="2"/>
        <v>0.112119836586473</v>
      </c>
      <c r="D130" t="str">
        <f t="shared" si="3"/>
        <v>BAIXO</v>
      </c>
    </row>
    <row r="131" spans="1:4" x14ac:dyDescent="0.3">
      <c r="A131" s="1">
        <v>596</v>
      </c>
      <c r="B131" s="1">
        <v>97</v>
      </c>
      <c r="C131" s="4">
        <f t="shared" ref="C131:C194" si="4">B131/A131</f>
        <v>0.16275167785234898</v>
      </c>
      <c r="D131" t="str">
        <f t="shared" ref="D131:D194" si="5">VLOOKUP(C131,$F$2:$H$5,3,TRUE)</f>
        <v>BAIXO</v>
      </c>
    </row>
    <row r="132" spans="1:4" x14ac:dyDescent="0.3">
      <c r="A132" s="1">
        <v>7</v>
      </c>
      <c r="B132" s="1">
        <v>16</v>
      </c>
      <c r="C132" s="4">
        <f t="shared" si="4"/>
        <v>2.2857142857142856</v>
      </c>
      <c r="D132" t="str">
        <f t="shared" si="5"/>
        <v>MUITO ALTO</v>
      </c>
    </row>
    <row r="133" spans="1:4" x14ac:dyDescent="0.3">
      <c r="A133" s="1">
        <v>2652</v>
      </c>
      <c r="B133" s="1">
        <v>177</v>
      </c>
      <c r="C133" s="4">
        <f t="shared" si="4"/>
        <v>6.67420814479638E-2</v>
      </c>
      <c r="D133" t="str">
        <f t="shared" si="5"/>
        <v>BAIXO</v>
      </c>
    </row>
    <row r="134" spans="1:4" x14ac:dyDescent="0.3">
      <c r="A134" s="1">
        <v>84</v>
      </c>
      <c r="B134" s="1">
        <v>57</v>
      </c>
      <c r="C134" s="4">
        <f t="shared" si="4"/>
        <v>0.6785714285714286</v>
      </c>
      <c r="D134" t="str">
        <f t="shared" si="5"/>
        <v>ALTO</v>
      </c>
    </row>
    <row r="135" spans="1:4" x14ac:dyDescent="0.3">
      <c r="A135" s="1">
        <v>2198</v>
      </c>
      <c r="B135" s="1">
        <v>196</v>
      </c>
      <c r="C135" s="4">
        <f t="shared" si="4"/>
        <v>8.9171974522292988E-2</v>
      </c>
      <c r="D135" t="str">
        <f t="shared" si="5"/>
        <v>BAIXO</v>
      </c>
    </row>
    <row r="136" spans="1:4" x14ac:dyDescent="0.3">
      <c r="A136" s="1">
        <v>369</v>
      </c>
      <c r="B136" s="1">
        <v>108</v>
      </c>
      <c r="C136" s="4">
        <f t="shared" si="4"/>
        <v>0.29268292682926828</v>
      </c>
      <c r="D136" t="str">
        <f t="shared" si="5"/>
        <v>MEDIO</v>
      </c>
    </row>
    <row r="137" spans="1:4" x14ac:dyDescent="0.3">
      <c r="A137" s="1">
        <v>483</v>
      </c>
      <c r="B137" s="1">
        <v>116</v>
      </c>
      <c r="C137" s="4">
        <f t="shared" si="4"/>
        <v>0.2401656314699793</v>
      </c>
      <c r="D137" t="str">
        <f t="shared" si="5"/>
        <v>BAIXO</v>
      </c>
    </row>
    <row r="138" spans="1:4" x14ac:dyDescent="0.3">
      <c r="A138" s="1">
        <v>256</v>
      </c>
      <c r="B138" s="1">
        <v>95</v>
      </c>
      <c r="C138" s="4">
        <f t="shared" si="4"/>
        <v>0.37109375</v>
      </c>
      <c r="D138" t="str">
        <f t="shared" si="5"/>
        <v>MEDIO</v>
      </c>
    </row>
    <row r="139" spans="1:4" x14ac:dyDescent="0.3">
      <c r="A139" s="1">
        <v>2737</v>
      </c>
      <c r="B139" s="1">
        <v>208</v>
      </c>
      <c r="C139" s="4">
        <f t="shared" si="4"/>
        <v>7.5995615637559369E-2</v>
      </c>
      <c r="D139" t="str">
        <f t="shared" si="5"/>
        <v>BAIXO</v>
      </c>
    </row>
    <row r="140" spans="1:4" x14ac:dyDescent="0.3">
      <c r="A140" s="1">
        <v>43</v>
      </c>
      <c r="B140" s="1">
        <v>96</v>
      </c>
      <c r="C140" s="4">
        <f t="shared" si="4"/>
        <v>2.2325581395348837</v>
      </c>
      <c r="D140" t="str">
        <f t="shared" si="5"/>
        <v>MUITO ALTO</v>
      </c>
    </row>
    <row r="141" spans="1:4" x14ac:dyDescent="0.3">
      <c r="A141" s="1">
        <v>1849</v>
      </c>
      <c r="B141" s="1">
        <v>207</v>
      </c>
      <c r="C141" s="4">
        <f t="shared" si="4"/>
        <v>0.11195240670632775</v>
      </c>
      <c r="D141" t="str">
        <f t="shared" si="5"/>
        <v>BAIXO</v>
      </c>
    </row>
    <row r="142" spans="1:4" x14ac:dyDescent="0.3">
      <c r="A142" s="1">
        <v>734</v>
      </c>
      <c r="B142" s="1">
        <v>109</v>
      </c>
      <c r="C142" s="4">
        <f t="shared" si="4"/>
        <v>0.14850136239782016</v>
      </c>
      <c r="D142" t="str">
        <f t="shared" si="5"/>
        <v>BAIXO</v>
      </c>
    </row>
    <row r="143" spans="1:4" x14ac:dyDescent="0.3">
      <c r="A143" s="1">
        <v>1937</v>
      </c>
      <c r="B143" s="1">
        <v>192</v>
      </c>
      <c r="C143" s="4">
        <f t="shared" si="4"/>
        <v>9.9122354155911196E-2</v>
      </c>
      <c r="D143" t="str">
        <f t="shared" si="5"/>
        <v>BAIXO</v>
      </c>
    </row>
    <row r="144" spans="1:4" x14ac:dyDescent="0.3">
      <c r="A144" s="1">
        <v>2205</v>
      </c>
      <c r="B144" s="1">
        <v>201</v>
      </c>
      <c r="C144" s="4">
        <f t="shared" si="4"/>
        <v>9.1156462585034015E-2</v>
      </c>
      <c r="D144" t="str">
        <f t="shared" si="5"/>
        <v>BAIXO</v>
      </c>
    </row>
    <row r="145" spans="1:4" x14ac:dyDescent="0.3">
      <c r="A145" s="1">
        <v>1046</v>
      </c>
      <c r="B145" s="1">
        <v>104</v>
      </c>
      <c r="C145" s="4">
        <f t="shared" si="4"/>
        <v>9.9426386233269604E-2</v>
      </c>
      <c r="D145" t="str">
        <f t="shared" si="5"/>
        <v>BAIXO</v>
      </c>
    </row>
    <row r="146" spans="1:4" x14ac:dyDescent="0.3">
      <c r="A146" s="1">
        <v>962</v>
      </c>
      <c r="B146" s="1">
        <v>123</v>
      </c>
      <c r="C146" s="4">
        <f t="shared" si="4"/>
        <v>0.12785862785862787</v>
      </c>
      <c r="D146" t="str">
        <f t="shared" si="5"/>
        <v>BAIXO</v>
      </c>
    </row>
    <row r="147" spans="1:4" x14ac:dyDescent="0.3">
      <c r="A147" s="1">
        <v>1403</v>
      </c>
      <c r="B147" s="1">
        <v>103</v>
      </c>
      <c r="C147" s="4">
        <f t="shared" si="4"/>
        <v>7.3414112615823229E-2</v>
      </c>
      <c r="D147" t="str">
        <f t="shared" si="5"/>
        <v>BAIXO</v>
      </c>
    </row>
    <row r="148" spans="1:4" x14ac:dyDescent="0.3">
      <c r="A148" s="1">
        <v>2401</v>
      </c>
      <c r="B148" s="1">
        <v>182</v>
      </c>
      <c r="C148" s="4">
        <f t="shared" si="4"/>
        <v>7.5801749271137031E-2</v>
      </c>
      <c r="D148" t="str">
        <f t="shared" si="5"/>
        <v>BAIXO</v>
      </c>
    </row>
    <row r="149" spans="1:4" x14ac:dyDescent="0.3">
      <c r="A149" s="1">
        <v>2432</v>
      </c>
      <c r="B149" s="1">
        <v>254</v>
      </c>
      <c r="C149" s="4">
        <f t="shared" si="4"/>
        <v>0.10444078947368421</v>
      </c>
      <c r="D149" t="str">
        <f t="shared" si="5"/>
        <v>BAIXO</v>
      </c>
    </row>
    <row r="150" spans="1:4" x14ac:dyDescent="0.3">
      <c r="A150" s="1">
        <v>38</v>
      </c>
      <c r="B150" s="1">
        <v>109</v>
      </c>
      <c r="C150" s="4">
        <f t="shared" si="4"/>
        <v>2.8684210526315788</v>
      </c>
      <c r="D150" t="str">
        <f t="shared" si="5"/>
        <v>MUITO ALTO</v>
      </c>
    </row>
    <row r="151" spans="1:4" x14ac:dyDescent="0.3">
      <c r="A151" s="1">
        <v>447</v>
      </c>
      <c r="B151" s="1">
        <v>101</v>
      </c>
      <c r="C151" s="4">
        <f t="shared" si="4"/>
        <v>0.22595078299776286</v>
      </c>
      <c r="D151" t="str">
        <f t="shared" si="5"/>
        <v>BAIXO</v>
      </c>
    </row>
    <row r="152" spans="1:4" x14ac:dyDescent="0.3">
      <c r="A152" s="1">
        <v>2807</v>
      </c>
      <c r="B152" s="1">
        <v>161</v>
      </c>
      <c r="C152" s="4">
        <f t="shared" si="4"/>
        <v>5.7356608478802994E-2</v>
      </c>
      <c r="D152" t="str">
        <f t="shared" si="5"/>
        <v>BAIXO</v>
      </c>
    </row>
    <row r="153" spans="1:4" x14ac:dyDescent="0.3">
      <c r="A153" s="1">
        <v>121</v>
      </c>
      <c r="B153" s="1">
        <v>116</v>
      </c>
      <c r="C153" s="4">
        <f t="shared" si="4"/>
        <v>0.95867768595041325</v>
      </c>
      <c r="D153" t="str">
        <f t="shared" si="5"/>
        <v>ALTO</v>
      </c>
    </row>
    <row r="154" spans="1:4" x14ac:dyDescent="0.3">
      <c r="A154" s="1">
        <v>1976</v>
      </c>
      <c r="B154" s="1">
        <v>166</v>
      </c>
      <c r="C154" s="4">
        <f t="shared" si="4"/>
        <v>8.4008097165991905E-2</v>
      </c>
      <c r="D154" t="str">
        <f t="shared" si="5"/>
        <v>BAIXO</v>
      </c>
    </row>
    <row r="155" spans="1:4" x14ac:dyDescent="0.3">
      <c r="A155" s="1">
        <v>1713</v>
      </c>
      <c r="B155" s="1">
        <v>16</v>
      </c>
      <c r="C155" s="4">
        <f t="shared" si="4"/>
        <v>9.3403385872737887E-3</v>
      </c>
      <c r="D155" t="str">
        <f t="shared" si="5"/>
        <v>BAIXO</v>
      </c>
    </row>
    <row r="156" spans="1:4" x14ac:dyDescent="0.3">
      <c r="A156" s="1">
        <v>1878</v>
      </c>
      <c r="B156" s="1">
        <v>206</v>
      </c>
      <c r="C156" s="4">
        <f t="shared" si="4"/>
        <v>0.10969116080937168</v>
      </c>
      <c r="D156" t="str">
        <f t="shared" si="5"/>
        <v>BAIXO</v>
      </c>
    </row>
    <row r="157" spans="1:4" x14ac:dyDescent="0.3">
      <c r="A157" s="1">
        <v>41</v>
      </c>
      <c r="B157" s="1">
        <v>32</v>
      </c>
      <c r="C157" s="4">
        <f t="shared" si="4"/>
        <v>0.78048780487804881</v>
      </c>
      <c r="D157" t="str">
        <f t="shared" si="5"/>
        <v>ALTO</v>
      </c>
    </row>
    <row r="158" spans="1:4" x14ac:dyDescent="0.3">
      <c r="A158" s="1">
        <v>939</v>
      </c>
      <c r="B158" s="1">
        <v>153</v>
      </c>
      <c r="C158" s="4">
        <f t="shared" si="4"/>
        <v>0.16293929712460065</v>
      </c>
      <c r="D158" t="str">
        <f t="shared" si="5"/>
        <v>BAIXO</v>
      </c>
    </row>
    <row r="159" spans="1:4" x14ac:dyDescent="0.3">
      <c r="A159" s="1">
        <v>1498</v>
      </c>
      <c r="B159" s="1">
        <v>101</v>
      </c>
      <c r="C159" s="4">
        <f t="shared" si="4"/>
        <v>6.7423230974632847E-2</v>
      </c>
      <c r="D159" t="str">
        <f t="shared" si="5"/>
        <v>BAIXO</v>
      </c>
    </row>
    <row r="160" spans="1:4" x14ac:dyDescent="0.3">
      <c r="A160" s="1">
        <v>117</v>
      </c>
      <c r="B160" s="1">
        <v>73</v>
      </c>
      <c r="C160" s="4">
        <f t="shared" si="4"/>
        <v>0.62393162393162394</v>
      </c>
      <c r="D160" t="str">
        <f t="shared" si="5"/>
        <v>ALTO</v>
      </c>
    </row>
    <row r="161" spans="1:4" x14ac:dyDescent="0.3">
      <c r="A161" s="1">
        <v>1317</v>
      </c>
      <c r="B161" s="1">
        <v>129</v>
      </c>
      <c r="C161" s="4">
        <f t="shared" si="4"/>
        <v>9.7949886104783598E-2</v>
      </c>
      <c r="D161" t="str">
        <f t="shared" si="5"/>
        <v>BAIXO</v>
      </c>
    </row>
    <row r="162" spans="1:4" x14ac:dyDescent="0.3">
      <c r="A162" s="1">
        <v>1725</v>
      </c>
      <c r="B162" s="1">
        <v>164</v>
      </c>
      <c r="C162" s="4">
        <f t="shared" si="4"/>
        <v>9.5072463768115942E-2</v>
      </c>
      <c r="D162" t="str">
        <f t="shared" si="5"/>
        <v>BAIXO</v>
      </c>
    </row>
    <row r="163" spans="1:4" x14ac:dyDescent="0.3">
      <c r="A163" s="1">
        <v>857</v>
      </c>
      <c r="B163" s="1">
        <v>133</v>
      </c>
      <c r="C163" s="4">
        <f t="shared" si="4"/>
        <v>0.15519253208868145</v>
      </c>
      <c r="D163" t="str">
        <f t="shared" si="5"/>
        <v>BAIXO</v>
      </c>
    </row>
    <row r="164" spans="1:4" x14ac:dyDescent="0.3">
      <c r="A164" s="1">
        <v>1884</v>
      </c>
      <c r="B164" s="1">
        <v>199</v>
      </c>
      <c r="C164" s="4">
        <f t="shared" si="4"/>
        <v>0.10562632696390659</v>
      </c>
      <c r="D164" t="str">
        <f t="shared" si="5"/>
        <v>BAIXO</v>
      </c>
    </row>
    <row r="165" spans="1:4" x14ac:dyDescent="0.3">
      <c r="A165" s="1">
        <v>1635</v>
      </c>
      <c r="B165" s="1">
        <v>18</v>
      </c>
      <c r="C165" s="4">
        <f t="shared" si="4"/>
        <v>1.1009174311926606E-2</v>
      </c>
      <c r="D165" t="str">
        <f t="shared" si="5"/>
        <v>BAIXO</v>
      </c>
    </row>
    <row r="166" spans="1:4" x14ac:dyDescent="0.3">
      <c r="A166" s="1">
        <v>1172</v>
      </c>
      <c r="B166" s="1">
        <v>119</v>
      </c>
      <c r="C166" s="4">
        <f t="shared" si="4"/>
        <v>0.1015358361774744</v>
      </c>
      <c r="D166" t="str">
        <f t="shared" si="5"/>
        <v>BAIXO</v>
      </c>
    </row>
    <row r="167" spans="1:4" x14ac:dyDescent="0.3">
      <c r="A167" s="1">
        <v>2345</v>
      </c>
      <c r="B167" s="1">
        <v>169</v>
      </c>
      <c r="C167" s="4">
        <f t="shared" si="4"/>
        <v>7.2068230277185508E-2</v>
      </c>
      <c r="D167" t="str">
        <f t="shared" si="5"/>
        <v>BAIXO</v>
      </c>
    </row>
    <row r="168" spans="1:4" x14ac:dyDescent="0.3">
      <c r="A168" s="1">
        <v>179</v>
      </c>
      <c r="B168" s="1">
        <v>8</v>
      </c>
      <c r="C168" s="4">
        <f t="shared" si="4"/>
        <v>4.4692737430167599E-2</v>
      </c>
      <c r="D168" t="str">
        <f t="shared" si="5"/>
        <v>BAIXO</v>
      </c>
    </row>
    <row r="169" spans="1:4" x14ac:dyDescent="0.3">
      <c r="A169" s="1">
        <v>2068</v>
      </c>
      <c r="B169" s="1">
        <v>172</v>
      </c>
      <c r="C169" s="4">
        <f t="shared" si="4"/>
        <v>8.3172147001934232E-2</v>
      </c>
      <c r="D169" t="str">
        <f t="shared" si="5"/>
        <v>BAIXO</v>
      </c>
    </row>
    <row r="170" spans="1:4" x14ac:dyDescent="0.3">
      <c r="A170" s="1">
        <v>2154</v>
      </c>
      <c r="B170" s="1">
        <v>171</v>
      </c>
      <c r="C170" s="4">
        <f t="shared" si="4"/>
        <v>7.9387186629526457E-2</v>
      </c>
      <c r="D170" t="str">
        <f t="shared" si="5"/>
        <v>BAIXO</v>
      </c>
    </row>
    <row r="171" spans="1:4" x14ac:dyDescent="0.3">
      <c r="A171" s="1">
        <v>2843</v>
      </c>
      <c r="B171" s="1">
        <v>20</v>
      </c>
      <c r="C171" s="4">
        <f t="shared" si="4"/>
        <v>7.0348223707351392E-3</v>
      </c>
      <c r="D171" t="str">
        <f t="shared" si="5"/>
        <v>BAIXO</v>
      </c>
    </row>
    <row r="172" spans="1:4" x14ac:dyDescent="0.3">
      <c r="A172" s="1">
        <v>50</v>
      </c>
      <c r="B172" s="1">
        <v>84</v>
      </c>
      <c r="C172" s="4">
        <f t="shared" si="4"/>
        <v>1.68</v>
      </c>
      <c r="D172" t="str">
        <f t="shared" si="5"/>
        <v>MUITO ALTO</v>
      </c>
    </row>
    <row r="173" spans="1:4" x14ac:dyDescent="0.3">
      <c r="A173" s="1">
        <v>1645</v>
      </c>
      <c r="B173" s="1">
        <v>175</v>
      </c>
      <c r="C173" s="4">
        <f t="shared" si="4"/>
        <v>0.10638297872340426</v>
      </c>
      <c r="D173" t="str">
        <f t="shared" si="5"/>
        <v>BAIXO</v>
      </c>
    </row>
    <row r="174" spans="1:4" x14ac:dyDescent="0.3">
      <c r="A174" s="1">
        <v>196</v>
      </c>
      <c r="B174" s="1">
        <v>76</v>
      </c>
      <c r="C174" s="4">
        <f t="shared" si="4"/>
        <v>0.38775510204081631</v>
      </c>
      <c r="D174" t="str">
        <f t="shared" si="5"/>
        <v>MEDIO</v>
      </c>
    </row>
    <row r="175" spans="1:4" x14ac:dyDescent="0.3">
      <c r="A175" s="1">
        <v>1684</v>
      </c>
      <c r="B175" s="1">
        <v>167</v>
      </c>
      <c r="C175" s="4">
        <f t="shared" si="4"/>
        <v>9.9168646080760092E-2</v>
      </c>
      <c r="D175" t="str">
        <f t="shared" si="5"/>
        <v>BAIXO</v>
      </c>
    </row>
    <row r="176" spans="1:4" x14ac:dyDescent="0.3">
      <c r="A176" s="1">
        <v>2224</v>
      </c>
      <c r="B176" s="1">
        <v>165</v>
      </c>
      <c r="C176" s="4">
        <f t="shared" si="4"/>
        <v>7.4190647482014385E-2</v>
      </c>
      <c r="D176" t="str">
        <f t="shared" si="5"/>
        <v>BAIXO</v>
      </c>
    </row>
    <row r="177" spans="1:4" x14ac:dyDescent="0.3">
      <c r="A177" s="1">
        <v>2769</v>
      </c>
      <c r="B177" s="1">
        <v>27</v>
      </c>
      <c r="C177" s="4">
        <f t="shared" si="4"/>
        <v>9.7508125677139759E-3</v>
      </c>
      <c r="D177" t="str">
        <f t="shared" si="5"/>
        <v>BAIXO</v>
      </c>
    </row>
    <row r="178" spans="1:4" x14ac:dyDescent="0.3">
      <c r="A178" s="1">
        <v>2484</v>
      </c>
      <c r="B178" s="1">
        <v>202</v>
      </c>
      <c r="C178" s="4">
        <f t="shared" si="4"/>
        <v>8.1320450885668277E-2</v>
      </c>
      <c r="D178" t="str">
        <f t="shared" si="5"/>
        <v>BAIXO</v>
      </c>
    </row>
    <row r="179" spans="1:4" x14ac:dyDescent="0.3">
      <c r="A179" s="1">
        <v>1702</v>
      </c>
      <c r="B179" s="1">
        <v>167</v>
      </c>
      <c r="C179" s="4">
        <f t="shared" si="4"/>
        <v>9.8119858989424213E-2</v>
      </c>
      <c r="D179" t="str">
        <f t="shared" si="5"/>
        <v>BAIXO</v>
      </c>
    </row>
    <row r="180" spans="1:4" x14ac:dyDescent="0.3">
      <c r="A180" s="1">
        <v>2767</v>
      </c>
      <c r="B180" s="1">
        <v>168</v>
      </c>
      <c r="C180" s="4">
        <f t="shared" si="4"/>
        <v>6.0715576436573909E-2</v>
      </c>
      <c r="D180" t="str">
        <f t="shared" si="5"/>
        <v>BAIXO</v>
      </c>
    </row>
    <row r="181" spans="1:4" x14ac:dyDescent="0.3">
      <c r="A181" s="1">
        <v>1656</v>
      </c>
      <c r="B181" s="1">
        <v>176</v>
      </c>
      <c r="C181" s="4">
        <f t="shared" si="4"/>
        <v>0.10628019323671498</v>
      </c>
      <c r="D181" t="str">
        <f t="shared" si="5"/>
        <v>BAIXO</v>
      </c>
    </row>
    <row r="182" spans="1:4" x14ac:dyDescent="0.3">
      <c r="A182" s="1">
        <v>1566</v>
      </c>
      <c r="B182" s="1">
        <v>155</v>
      </c>
      <c r="C182" s="4">
        <f t="shared" si="4"/>
        <v>9.8978288633461045E-2</v>
      </c>
      <c r="D182" t="str">
        <f t="shared" si="5"/>
        <v>BAIXO</v>
      </c>
    </row>
    <row r="183" spans="1:4" x14ac:dyDescent="0.3">
      <c r="A183" s="1">
        <v>2185</v>
      </c>
      <c r="B183" s="1">
        <v>172</v>
      </c>
      <c r="C183" s="4">
        <f t="shared" si="4"/>
        <v>7.8718535469107551E-2</v>
      </c>
      <c r="D183" t="str">
        <f t="shared" si="5"/>
        <v>BAIXO</v>
      </c>
    </row>
    <row r="184" spans="1:4" x14ac:dyDescent="0.3">
      <c r="A184" s="1">
        <v>562</v>
      </c>
      <c r="B184" s="1">
        <v>87</v>
      </c>
      <c r="C184" s="4">
        <f t="shared" si="4"/>
        <v>0.15480427046263345</v>
      </c>
      <c r="D184" t="str">
        <f t="shared" si="5"/>
        <v>BAIXO</v>
      </c>
    </row>
    <row r="185" spans="1:4" x14ac:dyDescent="0.3">
      <c r="A185" s="1">
        <v>2876</v>
      </c>
      <c r="B185" s="1">
        <v>262</v>
      </c>
      <c r="C185" s="4">
        <f t="shared" si="4"/>
        <v>9.1098748261474266E-2</v>
      </c>
      <c r="D185" t="str">
        <f t="shared" si="5"/>
        <v>BAIXO</v>
      </c>
    </row>
    <row r="186" spans="1:4" x14ac:dyDescent="0.3">
      <c r="A186" s="1">
        <v>2538</v>
      </c>
      <c r="B186" s="1">
        <v>176</v>
      </c>
      <c r="C186" s="4">
        <f t="shared" si="4"/>
        <v>6.9345941686367221E-2</v>
      </c>
      <c r="D186" t="str">
        <f t="shared" si="5"/>
        <v>BAIXO</v>
      </c>
    </row>
    <row r="187" spans="1:4" x14ac:dyDescent="0.3">
      <c r="A187" s="1">
        <v>205</v>
      </c>
      <c r="B187" s="1">
        <v>226</v>
      </c>
      <c r="C187" s="4">
        <f t="shared" si="4"/>
        <v>1.102439024390244</v>
      </c>
      <c r="D187" t="str">
        <f t="shared" si="5"/>
        <v>MUITO ALTO</v>
      </c>
    </row>
    <row r="188" spans="1:4" x14ac:dyDescent="0.3">
      <c r="A188" s="1">
        <v>1395</v>
      </c>
      <c r="B188" s="1">
        <v>103</v>
      </c>
      <c r="C188" s="4">
        <f t="shared" si="4"/>
        <v>7.3835125448028671E-2</v>
      </c>
      <c r="D188" t="str">
        <f t="shared" si="5"/>
        <v>BAIXO</v>
      </c>
    </row>
    <row r="189" spans="1:4" x14ac:dyDescent="0.3">
      <c r="A189" s="1">
        <v>1911</v>
      </c>
      <c r="B189" s="1">
        <v>173</v>
      </c>
      <c r="C189" s="4">
        <f t="shared" si="4"/>
        <v>9.0528519099947677E-2</v>
      </c>
      <c r="D189" t="str">
        <f t="shared" si="5"/>
        <v>BAIXO</v>
      </c>
    </row>
    <row r="190" spans="1:4" x14ac:dyDescent="0.3">
      <c r="A190" s="1">
        <v>286</v>
      </c>
      <c r="B190" s="1">
        <v>209</v>
      </c>
      <c r="C190" s="4">
        <f t="shared" si="4"/>
        <v>0.73076923076923073</v>
      </c>
      <c r="D190" t="str">
        <f t="shared" si="5"/>
        <v>ALTO</v>
      </c>
    </row>
    <row r="191" spans="1:4" x14ac:dyDescent="0.3">
      <c r="A191" s="1">
        <v>187</v>
      </c>
      <c r="B191" s="1">
        <v>67</v>
      </c>
      <c r="C191" s="4">
        <f t="shared" si="4"/>
        <v>0.35828877005347592</v>
      </c>
      <c r="D191" t="str">
        <f t="shared" si="5"/>
        <v>MEDIO</v>
      </c>
    </row>
    <row r="192" spans="1:4" x14ac:dyDescent="0.3">
      <c r="A192" s="1">
        <v>395</v>
      </c>
      <c r="B192" s="1">
        <v>108</v>
      </c>
      <c r="C192" s="4">
        <f t="shared" si="4"/>
        <v>0.27341772151898736</v>
      </c>
      <c r="D192" t="str">
        <f t="shared" si="5"/>
        <v>MEDIO</v>
      </c>
    </row>
    <row r="193" spans="1:4" x14ac:dyDescent="0.3">
      <c r="A193" s="1">
        <v>755</v>
      </c>
      <c r="B193" s="1">
        <v>119</v>
      </c>
      <c r="C193" s="4">
        <f t="shared" si="4"/>
        <v>0.15761589403973511</v>
      </c>
      <c r="D193" t="str">
        <f t="shared" si="5"/>
        <v>BAIXO</v>
      </c>
    </row>
    <row r="194" spans="1:4" x14ac:dyDescent="0.3">
      <c r="A194" s="1">
        <v>172</v>
      </c>
      <c r="B194" s="1">
        <v>59</v>
      </c>
      <c r="C194" s="4">
        <f t="shared" si="4"/>
        <v>0.34302325581395349</v>
      </c>
      <c r="D194" t="str">
        <f t="shared" si="5"/>
        <v>MEDIO</v>
      </c>
    </row>
    <row r="195" spans="1:4" x14ac:dyDescent="0.3">
      <c r="A195" s="1">
        <v>1668</v>
      </c>
      <c r="B195" s="1">
        <v>196</v>
      </c>
      <c r="C195" s="4">
        <f t="shared" ref="C195:C201" si="6">B195/A195</f>
        <v>0.11750599520383694</v>
      </c>
      <c r="D195" t="str">
        <f t="shared" ref="D195:D201" si="7">VLOOKUP(C195,$F$2:$H$5,3,TRUE)</f>
        <v>BAIXO</v>
      </c>
    </row>
    <row r="196" spans="1:4" x14ac:dyDescent="0.3">
      <c r="A196" s="1">
        <v>1497</v>
      </c>
      <c r="B196" s="1">
        <v>173</v>
      </c>
      <c r="C196" s="4">
        <f t="shared" si="6"/>
        <v>0.11556446225784903</v>
      </c>
      <c r="D196" t="str">
        <f t="shared" si="7"/>
        <v>BAIXO</v>
      </c>
    </row>
    <row r="197" spans="1:4" x14ac:dyDescent="0.3">
      <c r="A197" s="1">
        <v>382</v>
      </c>
      <c r="B197" s="1">
        <v>76</v>
      </c>
      <c r="C197" s="4">
        <f t="shared" si="6"/>
        <v>0.19895287958115182</v>
      </c>
      <c r="D197" t="str">
        <f t="shared" si="7"/>
        <v>BAIXO</v>
      </c>
    </row>
    <row r="198" spans="1:4" x14ac:dyDescent="0.3">
      <c r="A198" s="1">
        <v>942</v>
      </c>
      <c r="B198" s="1">
        <v>14</v>
      </c>
      <c r="C198" s="4">
        <f t="shared" si="6"/>
        <v>1.4861995753715499E-2</v>
      </c>
      <c r="D198" t="str">
        <f t="shared" si="7"/>
        <v>BAIXO</v>
      </c>
    </row>
    <row r="199" spans="1:4" x14ac:dyDescent="0.3">
      <c r="A199" s="1">
        <v>177</v>
      </c>
      <c r="B199" s="1">
        <v>148</v>
      </c>
      <c r="C199" s="4">
        <f t="shared" si="6"/>
        <v>0.83615819209039544</v>
      </c>
      <c r="D199" t="str">
        <f t="shared" si="7"/>
        <v>ALTO</v>
      </c>
    </row>
    <row r="200" spans="1:4" x14ac:dyDescent="0.3">
      <c r="A200" s="1">
        <v>2836</v>
      </c>
      <c r="B200" s="1">
        <v>255</v>
      </c>
      <c r="C200" s="4">
        <f t="shared" si="6"/>
        <v>8.9915373765867418E-2</v>
      </c>
      <c r="D200" t="str">
        <f t="shared" si="7"/>
        <v>BAIXO</v>
      </c>
    </row>
    <row r="201" spans="1:4" x14ac:dyDescent="0.3">
      <c r="A201" s="1">
        <v>2321</v>
      </c>
      <c r="B201" s="1">
        <v>184</v>
      </c>
      <c r="C201" s="4">
        <f t="shared" si="6"/>
        <v>7.9276174062903923E-2</v>
      </c>
      <c r="D201" t="str">
        <f t="shared" si="7"/>
        <v>BAIXO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971D0B-0864-4A71-A920-1F776B6361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Amaral</dc:creator>
  <cp:lastModifiedBy>Luis Eduardo Alencar Melo</cp:lastModifiedBy>
  <dcterms:created xsi:type="dcterms:W3CDTF">2019-04-21T00:24:38Z</dcterms:created>
  <dcterms:modified xsi:type="dcterms:W3CDTF">2026-01-24T20:41:57Z</dcterms:modified>
</cp:coreProperties>
</file>