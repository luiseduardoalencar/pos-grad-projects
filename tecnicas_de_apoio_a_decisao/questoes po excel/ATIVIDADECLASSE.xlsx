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code\python\pos-grad\tecnicas_de_apoio_a_decisao\questoes po excel\"/>
    </mc:Choice>
  </mc:AlternateContent>
  <xr:revisionPtr revIDLastSave="0" documentId="13_ncr:1_{E257FA15-7AE2-4F2C-BFC3-F15DE56002EF}" xr6:coauthVersionLast="47" xr6:coauthVersionMax="47" xr10:uidLastSave="{00000000-0000-0000-0000-000000000000}"/>
  <bookViews>
    <workbookView xWindow="-28920" yWindow="-120" windowWidth="29040" windowHeight="15720" activeTab="2" xr2:uid="{9A0B2E79-CCBC-4345-9DB9-0D8158D663AF}"/>
  </bookViews>
  <sheets>
    <sheet name="Q1" sheetId="1" r:id="rId1"/>
    <sheet name="Q2" sheetId="2" r:id="rId2"/>
    <sheet name="CALCULODEPRECO" sheetId="3" r:id="rId3"/>
  </sheets>
  <definedNames>
    <definedName name="solver_adj" localSheetId="0" hidden="1">'Q1'!$B$7:$D$8</definedName>
    <definedName name="solver_adj" localSheetId="1" hidden="1">'Q2'!$B$9:$E$11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'Q1'!$B$9:$D$9</definedName>
    <definedName name="solver_lhs1" localSheetId="1" hidden="1">'Q2'!$B$12:$E$12</definedName>
    <definedName name="solver_lhs2" localSheetId="0" hidden="1">'Q1'!$E$15:$E$16</definedName>
    <definedName name="solver_lhs2" localSheetId="1" hidden="1">'Q2'!$F$9:$F$11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nwt" localSheetId="1" hidden="1">1</definedName>
    <definedName name="solver_opt" localSheetId="0" hidden="1">'Q1'!$B$12</definedName>
    <definedName name="solver_opt" localSheetId="1" hidden="1">'Q2'!$B$15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2</definedName>
    <definedName name="solver_rel1" localSheetId="1" hidden="1">1</definedName>
    <definedName name="solver_rel2" localSheetId="0" hidden="1">1</definedName>
    <definedName name="solver_rel2" localSheetId="1" hidden="1">2</definedName>
    <definedName name="solver_rhs1" localSheetId="0" hidden="1">'Q1'!$B$10:$D$10</definedName>
    <definedName name="solver_rhs1" localSheetId="1" hidden="1">'Q2'!$B$13:$E$13</definedName>
    <definedName name="solver_rhs2" localSheetId="0" hidden="1">'Q1'!$G$15:$G$16</definedName>
    <definedName name="solver_rhs2" localSheetId="1" hidden="1">'Q2'!$G$9:$G$11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2" l="1"/>
  <c r="C12" i="2"/>
  <c r="D12" i="2"/>
  <c r="E12" i="2"/>
  <c r="B12" i="2"/>
  <c r="F10" i="2"/>
  <c r="F11" i="2"/>
  <c r="F9" i="2"/>
  <c r="E16" i="1"/>
  <c r="E15" i="1"/>
  <c r="C9" i="1"/>
  <c r="D9" i="1"/>
  <c r="B9" i="1"/>
  <c r="B12" i="1"/>
</calcChain>
</file>

<file path=xl/sharedStrings.xml><?xml version="1.0" encoding="utf-8"?>
<sst xmlns="http://schemas.openxmlformats.org/spreadsheetml/2006/main" count="42" uniqueCount="24">
  <si>
    <t>FO</t>
  </si>
  <si>
    <t>CUSTOS</t>
  </si>
  <si>
    <t>MOD1</t>
  </si>
  <si>
    <t>MOD2</t>
  </si>
  <si>
    <t>MOD3</t>
  </si>
  <si>
    <t>FAZER</t>
  </si>
  <si>
    <t>COMPRAR</t>
  </si>
  <si>
    <t>DEMANDA</t>
  </si>
  <si>
    <t xml:space="preserve">FO </t>
  </si>
  <si>
    <t>ENROLAMENTO</t>
  </si>
  <si>
    <t>COLETORES</t>
  </si>
  <si>
    <t>QTD</t>
  </si>
  <si>
    <t>LIMITE</t>
  </si>
  <si>
    <t>&lt;=</t>
  </si>
  <si>
    <t>F1</t>
  </si>
  <si>
    <t>F2</t>
  </si>
  <si>
    <t>F3</t>
  </si>
  <si>
    <t>CD1</t>
  </si>
  <si>
    <t>CD2</t>
  </si>
  <si>
    <t>CD3</t>
  </si>
  <si>
    <t>CD4</t>
  </si>
  <si>
    <t>Demanda</t>
  </si>
  <si>
    <t>Total</t>
  </si>
  <si>
    <t>Capacidade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</si>
</sst>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5DEA-E519-4FFE-89DC-E74A18C2B222}">
  <dimension ref="A1:G16"/>
  <sheetViews>
    <sheetView workbookViewId="0">
      <selection activeCell="G11" sqref="G11"/>
    </sheetView>
  </sheetViews>
  <sheetFormatPr defaultRowHeight="14.4" x14ac:dyDescent="0.3"/>
  <cols>
    <col min="1" max="1" width="20.109375" customWidth="1"/>
  </cols>
  <sheetData>
    <row r="1" spans="1:7" x14ac:dyDescent="0.3">
      <c r="A1" s="1" t="s">
        <v>1</v>
      </c>
      <c r="B1" s="1"/>
      <c r="C1" s="1"/>
      <c r="D1" s="1"/>
    </row>
    <row r="2" spans="1:7" x14ac:dyDescent="0.3">
      <c r="A2" s="1"/>
      <c r="B2" s="1" t="s">
        <v>2</v>
      </c>
      <c r="C2" s="1" t="s">
        <v>3</v>
      </c>
      <c r="D2" s="1" t="s">
        <v>4</v>
      </c>
    </row>
    <row r="3" spans="1:7" x14ac:dyDescent="0.3">
      <c r="A3" s="1" t="s">
        <v>5</v>
      </c>
      <c r="B3" s="1">
        <v>50</v>
      </c>
      <c r="C3" s="1">
        <v>83</v>
      </c>
      <c r="D3" s="1">
        <v>130</v>
      </c>
    </row>
    <row r="4" spans="1:7" x14ac:dyDescent="0.3">
      <c r="A4" s="1" t="s">
        <v>6</v>
      </c>
      <c r="B4" s="1">
        <v>61</v>
      </c>
      <c r="C4" s="1">
        <v>97</v>
      </c>
      <c r="D4" s="1">
        <v>145</v>
      </c>
    </row>
    <row r="5" spans="1:7" x14ac:dyDescent="0.3">
      <c r="A5" s="1"/>
      <c r="B5" s="1"/>
      <c r="C5" s="1"/>
      <c r="D5" s="1"/>
    </row>
    <row r="6" spans="1:7" x14ac:dyDescent="0.3">
      <c r="A6" s="1"/>
      <c r="B6" s="1" t="s">
        <v>2</v>
      </c>
      <c r="C6" s="1" t="s">
        <v>3</v>
      </c>
      <c r="D6" s="1" t="s">
        <v>4</v>
      </c>
    </row>
    <row r="7" spans="1:7" x14ac:dyDescent="0.3">
      <c r="A7" s="1" t="s">
        <v>5</v>
      </c>
      <c r="B7" s="1">
        <v>3000</v>
      </c>
      <c r="C7" s="1">
        <v>550</v>
      </c>
      <c r="D7" s="1">
        <v>900</v>
      </c>
    </row>
    <row r="8" spans="1:7" x14ac:dyDescent="0.3">
      <c r="A8" s="1" t="s">
        <v>6</v>
      </c>
      <c r="B8" s="1">
        <v>0</v>
      </c>
      <c r="C8" s="1">
        <v>1450</v>
      </c>
      <c r="D8" s="1">
        <v>0</v>
      </c>
    </row>
    <row r="9" spans="1:7" x14ac:dyDescent="0.3">
      <c r="A9" s="1"/>
      <c r="B9" s="1">
        <f>B7+B8</f>
        <v>3000</v>
      </c>
      <c r="C9" s="1">
        <f t="shared" ref="C9:D9" si="0">C7+C8</f>
        <v>2000</v>
      </c>
      <c r="D9" s="1">
        <f t="shared" si="0"/>
        <v>900</v>
      </c>
    </row>
    <row r="10" spans="1:7" x14ac:dyDescent="0.3">
      <c r="A10" s="1" t="s">
        <v>7</v>
      </c>
      <c r="B10" s="1">
        <v>3000</v>
      </c>
      <c r="C10" s="1">
        <v>2000</v>
      </c>
      <c r="D10" s="1">
        <v>900</v>
      </c>
    </row>
    <row r="11" spans="1:7" x14ac:dyDescent="0.3">
      <c r="A11" s="1"/>
      <c r="B11" s="1"/>
      <c r="C11" s="1"/>
      <c r="D11" s="1"/>
    </row>
    <row r="12" spans="1:7" x14ac:dyDescent="0.3">
      <c r="A12" s="2" t="s">
        <v>8</v>
      </c>
      <c r="B12" s="1">
        <f>SUMPRODUCT(B3:D4,B7:D8)</f>
        <v>453300</v>
      </c>
      <c r="C12" s="1"/>
      <c r="D12" s="1"/>
    </row>
    <row r="13" spans="1:7" x14ac:dyDescent="0.3">
      <c r="A13" s="1"/>
      <c r="B13" s="1"/>
      <c r="C13" s="1"/>
      <c r="D13" s="1"/>
    </row>
    <row r="14" spans="1:7" x14ac:dyDescent="0.3">
      <c r="B14" t="s">
        <v>2</v>
      </c>
      <c r="C14" t="s">
        <v>3</v>
      </c>
      <c r="D14" t="s">
        <v>4</v>
      </c>
      <c r="E14" t="s">
        <v>11</v>
      </c>
      <c r="G14" t="s">
        <v>12</v>
      </c>
    </row>
    <row r="15" spans="1:7" x14ac:dyDescent="0.3">
      <c r="A15" t="s">
        <v>9</v>
      </c>
      <c r="B15">
        <v>2</v>
      </c>
      <c r="C15">
        <v>1.5</v>
      </c>
      <c r="D15">
        <v>3</v>
      </c>
      <c r="E15">
        <f>SUMPRODUCT($B$7:$D$7,B15:D15)</f>
        <v>9525</v>
      </c>
      <c r="F15" t="s">
        <v>13</v>
      </c>
      <c r="G15">
        <v>10000</v>
      </c>
    </row>
    <row r="16" spans="1:7" x14ac:dyDescent="0.3">
      <c r="A16" t="s">
        <v>10</v>
      </c>
      <c r="B16">
        <v>1</v>
      </c>
      <c r="C16">
        <v>2</v>
      </c>
      <c r="D16">
        <v>1</v>
      </c>
      <c r="E16">
        <f>SUMPRODUCT($B$7:$D$7,B16:D16)</f>
        <v>5000</v>
      </c>
      <c r="F16" t="s">
        <v>13</v>
      </c>
      <c r="G16">
        <v>5000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5BEA-412F-4C63-B066-A3F19067625E}">
  <dimension ref="A1:G15"/>
  <sheetViews>
    <sheetView workbookViewId="0">
      <selection activeCell="G1" sqref="A1:G15"/>
    </sheetView>
  </sheetViews>
  <sheetFormatPr defaultRowHeight="14.4" x14ac:dyDescent="0.3"/>
  <cols>
    <col min="1" max="1" width="12.5546875" customWidth="1"/>
    <col min="5" max="5" width="11" customWidth="1"/>
    <col min="7" max="7" width="10.44140625" customWidth="1"/>
  </cols>
  <sheetData>
    <row r="1" spans="1:7" x14ac:dyDescent="0.3">
      <c r="A1" t="s">
        <v>1</v>
      </c>
    </row>
    <row r="2" spans="1:7" x14ac:dyDescent="0.3">
      <c r="B2" t="s">
        <v>17</v>
      </c>
      <c r="C2" t="s">
        <v>18</v>
      </c>
      <c r="D2" t="s">
        <v>19</v>
      </c>
      <c r="E2" t="s">
        <v>20</v>
      </c>
    </row>
    <row r="3" spans="1:7" x14ac:dyDescent="0.3">
      <c r="A3" t="s">
        <v>14</v>
      </c>
      <c r="B3">
        <v>5</v>
      </c>
      <c r="C3">
        <v>3</v>
      </c>
      <c r="D3">
        <v>10</v>
      </c>
      <c r="E3">
        <v>8</v>
      </c>
      <c r="F3">
        <v>40</v>
      </c>
    </row>
    <row r="4" spans="1:7" x14ac:dyDescent="0.3">
      <c r="A4" t="s">
        <v>15</v>
      </c>
      <c r="B4">
        <v>5</v>
      </c>
      <c r="C4">
        <v>2</v>
      </c>
      <c r="D4">
        <v>4</v>
      </c>
      <c r="E4">
        <v>9</v>
      </c>
      <c r="F4">
        <v>100</v>
      </c>
    </row>
    <row r="5" spans="1:7" x14ac:dyDescent="0.3">
      <c r="A5" t="s">
        <v>16</v>
      </c>
      <c r="B5">
        <v>8</v>
      </c>
      <c r="C5">
        <v>11</v>
      </c>
      <c r="D5">
        <v>9</v>
      </c>
      <c r="E5">
        <v>10</v>
      </c>
      <c r="F5">
        <v>60</v>
      </c>
    </row>
    <row r="6" spans="1:7" x14ac:dyDescent="0.3">
      <c r="A6" t="s">
        <v>21</v>
      </c>
      <c r="B6">
        <v>20</v>
      </c>
      <c r="C6">
        <v>70</v>
      </c>
      <c r="D6">
        <v>50</v>
      </c>
      <c r="E6">
        <v>90</v>
      </c>
    </row>
    <row r="8" spans="1:7" x14ac:dyDescent="0.3">
      <c r="B8" t="s">
        <v>17</v>
      </c>
      <c r="C8" t="s">
        <v>18</v>
      </c>
      <c r="D8" t="s">
        <v>19</v>
      </c>
      <c r="E8" t="s">
        <v>20</v>
      </c>
      <c r="F8" t="s">
        <v>22</v>
      </c>
      <c r="G8" t="s">
        <v>23</v>
      </c>
    </row>
    <row r="9" spans="1:7" x14ac:dyDescent="0.3">
      <c r="A9" t="s">
        <v>14</v>
      </c>
      <c r="B9">
        <v>20</v>
      </c>
      <c r="C9">
        <v>20</v>
      </c>
      <c r="D9">
        <v>0</v>
      </c>
      <c r="E9">
        <v>0</v>
      </c>
      <c r="F9">
        <f>SUM(B9:E9)</f>
        <v>40</v>
      </c>
      <c r="G9">
        <v>40</v>
      </c>
    </row>
    <row r="10" spans="1:7" x14ac:dyDescent="0.3">
      <c r="A10" t="s">
        <v>15</v>
      </c>
      <c r="B10">
        <v>0</v>
      </c>
      <c r="C10">
        <v>50</v>
      </c>
      <c r="D10">
        <v>50</v>
      </c>
      <c r="E10">
        <v>0</v>
      </c>
      <c r="F10">
        <f t="shared" ref="F10:F11" si="0">SUM(B10:E10)</f>
        <v>100</v>
      </c>
      <c r="G10">
        <v>100</v>
      </c>
    </row>
    <row r="11" spans="1:7" x14ac:dyDescent="0.3">
      <c r="A11" t="s">
        <v>16</v>
      </c>
      <c r="B11">
        <v>0</v>
      </c>
      <c r="C11">
        <v>0</v>
      </c>
      <c r="D11">
        <v>0</v>
      </c>
      <c r="E11">
        <v>60</v>
      </c>
      <c r="F11">
        <f t="shared" si="0"/>
        <v>60</v>
      </c>
      <c r="G11">
        <v>60</v>
      </c>
    </row>
    <row r="12" spans="1:7" x14ac:dyDescent="0.3">
      <c r="B12">
        <f>SUM(B9:B11)</f>
        <v>20</v>
      </c>
      <c r="C12">
        <f t="shared" ref="C12:E12" si="1">SUM(C9:C11)</f>
        <v>70</v>
      </c>
      <c r="D12">
        <f t="shared" si="1"/>
        <v>50</v>
      </c>
      <c r="E12">
        <f t="shared" si="1"/>
        <v>60</v>
      </c>
    </row>
    <row r="13" spans="1:7" x14ac:dyDescent="0.3">
      <c r="A13" t="s">
        <v>21</v>
      </c>
      <c r="B13">
        <v>20</v>
      </c>
      <c r="C13">
        <v>70</v>
      </c>
      <c r="D13">
        <v>50</v>
      </c>
      <c r="E13">
        <v>90</v>
      </c>
    </row>
    <row r="15" spans="1:7" x14ac:dyDescent="0.3">
      <c r="A15" t="s">
        <v>0</v>
      </c>
      <c r="B15">
        <f>SUMPRODUCT(B3:E5,B9:E11)</f>
        <v>1060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17FD-4F76-488A-99C6-6082F0573C6E}">
  <dimension ref="A1"/>
  <sheetViews>
    <sheetView tabSelected="1" workbookViewId="0">
      <selection sqref="A1:J1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Q1</vt:lpstr>
      <vt:lpstr>Q2</vt:lpstr>
      <vt:lpstr>CALCULODEPRECO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Alencar Melo</dc:creator>
  <cp:lastModifiedBy>Luis Eduardo Alencar Melo</cp:lastModifiedBy>
  <dcterms:created xsi:type="dcterms:W3CDTF">2026-01-25T12:12:22Z</dcterms:created>
  <dcterms:modified xsi:type="dcterms:W3CDTF">2026-01-25T14:42:30Z</dcterms:modified>
</cp:coreProperties>
</file>